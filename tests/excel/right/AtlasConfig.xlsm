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F:\client\Resource\Source\table\"/>
    </mc:Choice>
  </mc:AlternateContent>
  <xr:revisionPtr revIDLastSave="0" documentId="13_ncr:1_{BBACDF0F-808C-4E8C-B125-9F01BF1F863B}" xr6:coauthVersionLast="47" xr6:coauthVersionMax="47" xr10:uidLastSave="{00000000-0000-0000-0000-000000000000}"/>
  <bookViews>
    <workbookView xWindow="10365" yWindow="4200" windowWidth="21600" windowHeight="11385" tabRatio="795" firstSheet="10" activeTab="15" xr2:uid="{00000000-000D-0000-FFFF-FFFF00000000}"/>
  </bookViews>
  <sheets>
    <sheet name="main" sheetId="1" r:id="rId1"/>
    <sheet name="Character" sheetId="25" r:id="rId2"/>
    <sheet name="Inspiration" sheetId="26" r:id="rId3"/>
    <sheet name="Base" sheetId="19" r:id="rId4"/>
    <sheet name="Hero" sheetId="22" r:id="rId5"/>
    <sheet name="TeamConfig" sheetId="11" r:id="rId6"/>
    <sheet name="TeamStar" sheetId="24" r:id="rId7"/>
    <sheet name="配置公式2" sheetId="29" r:id="rId8"/>
    <sheet name="InspirationSuit" sheetId="12" r:id="rId9"/>
    <sheet name="InspirationStar" sheetId="23" r:id="rId10"/>
    <sheet name="Monster" sheetId="13" r:id="rId11"/>
    <sheet name="Voice" sheetId="18" r:id="rId12"/>
    <sheet name="PicSuit" sheetId="17" r:id="rId13"/>
    <sheet name="Picture" sheetId="14" r:id="rId14"/>
    <sheet name="MainItem" sheetId="15" r:id="rId15"/>
    <sheet name="Animation" sheetId="16" r:id="rId16"/>
    <sheet name="AnimationType" sheetId="21" r:id="rId17"/>
    <sheet name="AnimationChapter" sheetId="28" r:id="rId18"/>
  </sheets>
  <externalReferences>
    <externalReference r:id="rId19"/>
  </externalReferences>
  <definedNames>
    <definedName name="_xlnm._FilterDatabase" localSheetId="15" hidden="1">Animation!$A$7:$J$148</definedName>
    <definedName name="_xlnm._FilterDatabase" localSheetId="16" hidden="1">AnimationType!$A$7:$E$7</definedName>
    <definedName name="_xlnm._FilterDatabase" localSheetId="4" hidden="1">Hero!$A$1:$F$477</definedName>
    <definedName name="_xlnm._FilterDatabase" localSheetId="10" hidden="1">Monster!$A$7:$J$102</definedName>
    <definedName name="策划配置表">"TextBox 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254" i="16" l="1"/>
  <c r="E253" i="16"/>
  <c r="E109" i="24" l="1"/>
  <c r="E108" i="24"/>
  <c r="E33" i="24" l="1"/>
  <c r="E32" i="24"/>
  <c r="E134" i="24"/>
  <c r="E135" i="24"/>
  <c r="E136" i="24"/>
  <c r="E137" i="24"/>
  <c r="E138" i="24"/>
  <c r="E139" i="24"/>
  <c r="E140" i="24"/>
  <c r="E141" i="24"/>
  <c r="AJ52" i="29"/>
  <c r="AJ51" i="29"/>
  <c r="AJ50" i="29"/>
  <c r="AJ49" i="29"/>
  <c r="AJ48" i="29"/>
  <c r="AJ47" i="29"/>
  <c r="AJ46" i="29"/>
  <c r="AJ45" i="29"/>
  <c r="AJ44" i="29"/>
  <c r="AJ43" i="29"/>
  <c r="AJ42" i="29"/>
  <c r="AJ41" i="29"/>
  <c r="AJ40" i="29"/>
  <c r="AJ39" i="29"/>
  <c r="AJ38" i="29"/>
  <c r="AJ37" i="29"/>
  <c r="AJ36" i="29"/>
  <c r="AJ35" i="29"/>
  <c r="AJ34" i="29"/>
  <c r="AJ33" i="29"/>
  <c r="AJ32" i="29"/>
  <c r="AJ31" i="29"/>
  <c r="AJ30" i="29"/>
  <c r="AJ29" i="29"/>
  <c r="AJ28" i="29"/>
  <c r="AJ27" i="29"/>
  <c r="AJ26" i="29"/>
  <c r="AJ25" i="29"/>
  <c r="AJ24" i="29"/>
  <c r="AJ23" i="29"/>
  <c r="AJ22" i="29"/>
  <c r="AJ21" i="29"/>
  <c r="AJ20" i="29"/>
  <c r="AJ19" i="29"/>
  <c r="AJ18" i="29"/>
  <c r="AJ17" i="29"/>
  <c r="AJ16" i="29"/>
  <c r="AJ15" i="29"/>
  <c r="AJ14" i="29"/>
  <c r="AJ13" i="29"/>
  <c r="AJ12" i="29"/>
  <c r="AJ11" i="29"/>
  <c r="AJ10" i="29"/>
  <c r="AJ9" i="29"/>
  <c r="AJ8" i="29"/>
  <c r="AJ7" i="29"/>
  <c r="AJ6" i="29"/>
  <c r="AJ5" i="29"/>
  <c r="AJ4" i="29"/>
  <c r="AJ3" i="29"/>
  <c r="AB52" i="29"/>
  <c r="AB51" i="29"/>
  <c r="AB50" i="29"/>
  <c r="AB49" i="29"/>
  <c r="AB48" i="29"/>
  <c r="AB47" i="29"/>
  <c r="AB46" i="29"/>
  <c r="AB45" i="29"/>
  <c r="AB44" i="29"/>
  <c r="AB43" i="29"/>
  <c r="AB42" i="29"/>
  <c r="AB41" i="29"/>
  <c r="AB40" i="29"/>
  <c r="AB39" i="29"/>
  <c r="AB38" i="29"/>
  <c r="AB37" i="29"/>
  <c r="AB36" i="29"/>
  <c r="AB35" i="29"/>
  <c r="AB34" i="29"/>
  <c r="AB33" i="29"/>
  <c r="AB32" i="29"/>
  <c r="AB31" i="29"/>
  <c r="AB30" i="29"/>
  <c r="AB29" i="29"/>
  <c r="AB28" i="29"/>
  <c r="AB27" i="29"/>
  <c r="AB26" i="29"/>
  <c r="AB25" i="29"/>
  <c r="AB24" i="29"/>
  <c r="AB23" i="29"/>
  <c r="AB22" i="29"/>
  <c r="AB21" i="29"/>
  <c r="AB20" i="29"/>
  <c r="AB19" i="29"/>
  <c r="AB18" i="29"/>
  <c r="AB17" i="29"/>
  <c r="AB16" i="29"/>
  <c r="AB15" i="29"/>
  <c r="AB14" i="29"/>
  <c r="AB13" i="29"/>
  <c r="AB12" i="29"/>
  <c r="AB11" i="29"/>
  <c r="AB10" i="29"/>
  <c r="AB9" i="29"/>
  <c r="AB8" i="29"/>
  <c r="AB7" i="29"/>
  <c r="AB6" i="29"/>
  <c r="AB5" i="29"/>
  <c r="AB4" i="29"/>
  <c r="AB3" i="29"/>
  <c r="E9" i="24"/>
  <c r="E10" i="24"/>
  <c r="E11" i="24"/>
  <c r="E12" i="24"/>
  <c r="E13" i="24"/>
  <c r="E14" i="24"/>
  <c r="E15" i="24"/>
  <c r="E16" i="24"/>
  <c r="E17" i="24"/>
  <c r="E18" i="24"/>
  <c r="E19" i="24"/>
  <c r="E20" i="24"/>
  <c r="E21" i="24"/>
  <c r="E22" i="24"/>
  <c r="E23" i="24"/>
  <c r="E24" i="24"/>
  <c r="E25" i="24"/>
  <c r="E26" i="24"/>
  <c r="E27" i="24"/>
  <c r="E28" i="24"/>
  <c r="E29" i="24"/>
  <c r="E30" i="24"/>
  <c r="E31" i="24"/>
  <c r="E34" i="24"/>
  <c r="E35" i="24"/>
  <c r="E36" i="24"/>
  <c r="E37" i="24"/>
  <c r="E38" i="24"/>
  <c r="E39" i="24"/>
  <c r="E40" i="24"/>
  <c r="E41" i="24"/>
  <c r="E42" i="24"/>
  <c r="E43"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69" i="24"/>
  <c r="E70" i="24"/>
  <c r="E71" i="24"/>
  <c r="E72" i="24"/>
  <c r="E73" i="24"/>
  <c r="E74" i="24"/>
  <c r="E75" i="24"/>
  <c r="E76" i="24"/>
  <c r="E77" i="24"/>
  <c r="E78" i="24"/>
  <c r="E79" i="24"/>
  <c r="E80" i="24"/>
  <c r="E81" i="24"/>
  <c r="E82" i="24"/>
  <c r="E83" i="24"/>
  <c r="E84" i="24"/>
  <c r="E85" i="24"/>
  <c r="E86" i="24"/>
  <c r="E87" i="24"/>
  <c r="E88" i="24"/>
  <c r="E89" i="24"/>
  <c r="E90" i="24"/>
  <c r="E91" i="24"/>
  <c r="E92" i="24"/>
  <c r="E93" i="24"/>
  <c r="E94" i="24"/>
  <c r="E95" i="24"/>
  <c r="E96" i="24"/>
  <c r="E97" i="24"/>
  <c r="E98" i="24"/>
  <c r="E99" i="24"/>
  <c r="E100" i="24"/>
  <c r="E101" i="24"/>
  <c r="E102" i="24"/>
  <c r="E103" i="24"/>
  <c r="E104" i="24"/>
  <c r="E105" i="24"/>
  <c r="E106" i="24"/>
  <c r="E107" i="24"/>
  <c r="E110" i="24"/>
  <c r="E111" i="24"/>
  <c r="E112" i="24"/>
  <c r="E113" i="24"/>
  <c r="E114" i="24"/>
  <c r="E115" i="24"/>
  <c r="E116" i="24"/>
  <c r="E117" i="24"/>
  <c r="E118" i="24"/>
  <c r="E119" i="24"/>
  <c r="E120" i="24"/>
  <c r="E121" i="24"/>
  <c r="E122" i="24"/>
  <c r="E123" i="24"/>
  <c r="E124" i="24"/>
  <c r="E125" i="24"/>
  <c r="E126" i="24"/>
  <c r="E127" i="24"/>
  <c r="E128" i="24"/>
  <c r="E129" i="24"/>
  <c r="E130" i="24"/>
  <c r="E131" i="24"/>
  <c r="E132" i="24"/>
  <c r="E133" i="24"/>
  <c r="E8" i="24"/>
  <c r="T47" i="29"/>
  <c r="U47" i="29"/>
  <c r="V47" i="29"/>
  <c r="W47" i="29"/>
  <c r="T48" i="29"/>
  <c r="U48" i="29"/>
  <c r="V48" i="29"/>
  <c r="W48" i="29"/>
  <c r="X48" i="29" s="1"/>
  <c r="T49" i="29"/>
  <c r="U49" i="29"/>
  <c r="V49" i="29"/>
  <c r="W49" i="29"/>
  <c r="T50" i="29"/>
  <c r="U50" i="29"/>
  <c r="V50" i="29"/>
  <c r="W50" i="29"/>
  <c r="T51" i="29"/>
  <c r="U51" i="29"/>
  <c r="V51" i="29"/>
  <c r="W51" i="29"/>
  <c r="T52" i="29"/>
  <c r="U52" i="29"/>
  <c r="V52" i="29"/>
  <c r="W52" i="29"/>
  <c r="T53" i="29"/>
  <c r="U53" i="29"/>
  <c r="V53" i="29"/>
  <c r="W53" i="29"/>
  <c r="T54" i="29"/>
  <c r="U54" i="29"/>
  <c r="V54" i="29"/>
  <c r="W54" i="29"/>
  <c r="S48" i="29"/>
  <c r="S49" i="29"/>
  <c r="S50" i="29"/>
  <c r="S51" i="29"/>
  <c r="S52" i="29"/>
  <c r="S53" i="29"/>
  <c r="S54" i="29"/>
  <c r="S47" i="29"/>
  <c r="T39" i="29"/>
  <c r="U39" i="29"/>
  <c r="V39" i="29"/>
  <c r="W39" i="29"/>
  <c r="T40" i="29"/>
  <c r="U40" i="29"/>
  <c r="V40" i="29"/>
  <c r="W40" i="29"/>
  <c r="T41" i="29"/>
  <c r="U41" i="29"/>
  <c r="V41" i="29"/>
  <c r="W41" i="29"/>
  <c r="T42" i="29"/>
  <c r="U42" i="29"/>
  <c r="V42" i="29"/>
  <c r="W42" i="29"/>
  <c r="T43" i="29"/>
  <c r="U43" i="29"/>
  <c r="V43" i="29"/>
  <c r="W43" i="29"/>
  <c r="T44" i="29"/>
  <c r="U44" i="29"/>
  <c r="V44" i="29"/>
  <c r="W44" i="29"/>
  <c r="T45" i="29"/>
  <c r="U45" i="29"/>
  <c r="V45" i="29"/>
  <c r="W45" i="29"/>
  <c r="T46" i="29"/>
  <c r="U46" i="29"/>
  <c r="V46" i="29"/>
  <c r="W46" i="29"/>
  <c r="S40" i="29"/>
  <c r="S41" i="29"/>
  <c r="S42" i="29"/>
  <c r="S43" i="29"/>
  <c r="S44" i="29"/>
  <c r="S45" i="29"/>
  <c r="S46" i="29"/>
  <c r="S39" i="29"/>
  <c r="T31" i="29"/>
  <c r="U31" i="29"/>
  <c r="V31" i="29"/>
  <c r="W31" i="29"/>
  <c r="T32" i="29"/>
  <c r="U32" i="29"/>
  <c r="V32" i="29"/>
  <c r="W32" i="29"/>
  <c r="T33" i="29"/>
  <c r="U33" i="29"/>
  <c r="V33" i="29"/>
  <c r="W33" i="29"/>
  <c r="X33" i="29" s="1"/>
  <c r="T34" i="29"/>
  <c r="U34" i="29"/>
  <c r="V34" i="29"/>
  <c r="W34" i="29"/>
  <c r="T35" i="29"/>
  <c r="U35" i="29"/>
  <c r="V35" i="29"/>
  <c r="W35" i="29"/>
  <c r="T36" i="29"/>
  <c r="U36" i="29"/>
  <c r="V36" i="29"/>
  <c r="W36" i="29"/>
  <c r="T37" i="29"/>
  <c r="U37" i="29"/>
  <c r="V37" i="29"/>
  <c r="W37" i="29"/>
  <c r="T38" i="29"/>
  <c r="U38" i="29"/>
  <c r="V38" i="29"/>
  <c r="W38" i="29"/>
  <c r="S32" i="29"/>
  <c r="S33" i="29"/>
  <c r="S34" i="29"/>
  <c r="S35" i="29"/>
  <c r="S36" i="29"/>
  <c r="S37" i="29"/>
  <c r="S38" i="29"/>
  <c r="S31" i="29"/>
  <c r="P32" i="29"/>
  <c r="P33" i="29"/>
  <c r="P34" i="29"/>
  <c r="P35" i="29"/>
  <c r="P36" i="29"/>
  <c r="P37" i="29"/>
  <c r="P38" i="29"/>
  <c r="P39" i="29"/>
  <c r="P40" i="29"/>
  <c r="P41" i="29"/>
  <c r="P42" i="29"/>
  <c r="P43" i="29"/>
  <c r="P44" i="29"/>
  <c r="P45" i="29"/>
  <c r="P46" i="29"/>
  <c r="P47" i="29"/>
  <c r="P48" i="29"/>
  <c r="P49" i="29"/>
  <c r="P50" i="29"/>
  <c r="P51" i="29"/>
  <c r="P52" i="29"/>
  <c r="P53" i="29"/>
  <c r="P54" i="29"/>
  <c r="P31"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23" i="29"/>
  <c r="F9" i="22"/>
  <c r="G9" i="22" s="1"/>
  <c r="F10" i="22"/>
  <c r="G10" i="22" s="1"/>
  <c r="F11" i="22"/>
  <c r="G11" i="22" s="1"/>
  <c r="F12" i="22"/>
  <c r="G12" i="22" s="1"/>
  <c r="F13" i="22"/>
  <c r="G13" i="22" s="1"/>
  <c r="F14" i="22"/>
  <c r="G14" i="22" s="1"/>
  <c r="F15" i="22"/>
  <c r="G15" i="22" s="1"/>
  <c r="F16" i="22"/>
  <c r="G16" i="22" s="1"/>
  <c r="F17" i="22"/>
  <c r="G17" i="22" s="1"/>
  <c r="F18" i="22"/>
  <c r="G18" i="22" s="1"/>
  <c r="F19" i="22"/>
  <c r="G19" i="22" s="1"/>
  <c r="F20" i="22"/>
  <c r="G20" i="22" s="1"/>
  <c r="F21" i="22"/>
  <c r="G21" i="22" s="1"/>
  <c r="F22" i="22"/>
  <c r="G22" i="22" s="1"/>
  <c r="F23" i="22"/>
  <c r="G23" i="22" s="1"/>
  <c r="F24" i="22"/>
  <c r="G24" i="22" s="1"/>
  <c r="F25" i="22"/>
  <c r="G25" i="22" s="1"/>
  <c r="F26" i="22"/>
  <c r="G26" i="22" s="1"/>
  <c r="F27" i="22"/>
  <c r="G27" i="22" s="1"/>
  <c r="F28" i="22"/>
  <c r="G28" i="22" s="1"/>
  <c r="F29" i="22"/>
  <c r="G29" i="22" s="1"/>
  <c r="F30" i="22"/>
  <c r="G30" i="22" s="1"/>
  <c r="F31" i="22"/>
  <c r="G31" i="22" s="1"/>
  <c r="F32" i="22"/>
  <c r="G32" i="22" s="1"/>
  <c r="F33" i="22"/>
  <c r="G33" i="22" s="1"/>
  <c r="F34" i="22"/>
  <c r="G34" i="22" s="1"/>
  <c r="F35" i="22"/>
  <c r="G35" i="22" s="1"/>
  <c r="F36" i="22"/>
  <c r="G36" i="22" s="1"/>
  <c r="F37" i="22"/>
  <c r="G37" i="22" s="1"/>
  <c r="F38" i="22"/>
  <c r="G38" i="22" s="1"/>
  <c r="F39" i="22"/>
  <c r="G39" i="22" s="1"/>
  <c r="F40" i="22"/>
  <c r="G40" i="22" s="1"/>
  <c r="F41" i="22"/>
  <c r="G41" i="22" s="1"/>
  <c r="F42" i="22"/>
  <c r="G42" i="22" s="1"/>
  <c r="F43" i="22"/>
  <c r="G43" i="22" s="1"/>
  <c r="F44" i="22"/>
  <c r="G44" i="22" s="1"/>
  <c r="F45" i="22"/>
  <c r="G45" i="22" s="1"/>
  <c r="F46" i="22"/>
  <c r="G46" i="22" s="1"/>
  <c r="F47" i="22"/>
  <c r="G47" i="22" s="1"/>
  <c r="F48" i="22"/>
  <c r="G48" i="22" s="1"/>
  <c r="F49" i="22"/>
  <c r="G49" i="22" s="1"/>
  <c r="F50" i="22"/>
  <c r="G50" i="22" s="1"/>
  <c r="F51" i="22"/>
  <c r="G51" i="22" s="1"/>
  <c r="F52" i="22"/>
  <c r="G52" i="22" s="1"/>
  <c r="F53" i="22"/>
  <c r="G53" i="22" s="1"/>
  <c r="F54" i="22"/>
  <c r="G54" i="22" s="1"/>
  <c r="F55" i="22"/>
  <c r="G55" i="22" s="1"/>
  <c r="F56" i="22"/>
  <c r="G56" i="22" s="1"/>
  <c r="F57" i="22"/>
  <c r="G57" i="22" s="1"/>
  <c r="F58" i="22"/>
  <c r="G58" i="22" s="1"/>
  <c r="F59" i="22"/>
  <c r="G59" i="22" s="1"/>
  <c r="F60" i="22"/>
  <c r="G60" i="22" s="1"/>
  <c r="F61" i="22"/>
  <c r="G61" i="22" s="1"/>
  <c r="F62" i="22"/>
  <c r="G62" i="22" s="1"/>
  <c r="F63" i="22"/>
  <c r="G63" i="22" s="1"/>
  <c r="F64" i="22"/>
  <c r="G64" i="22" s="1"/>
  <c r="F65" i="22"/>
  <c r="G65" i="22" s="1"/>
  <c r="F66" i="22"/>
  <c r="G66" i="22" s="1"/>
  <c r="F67" i="22"/>
  <c r="G67" i="22" s="1"/>
  <c r="F68" i="22"/>
  <c r="G68" i="22" s="1"/>
  <c r="F69" i="22"/>
  <c r="G69" i="22" s="1"/>
  <c r="F70" i="22"/>
  <c r="G70" i="22" s="1"/>
  <c r="F71" i="22"/>
  <c r="G71" i="22" s="1"/>
  <c r="F72" i="22"/>
  <c r="G72" i="22" s="1"/>
  <c r="F73" i="22"/>
  <c r="G73" i="22" s="1"/>
  <c r="F74" i="22"/>
  <c r="G74" i="22" s="1"/>
  <c r="F75" i="22"/>
  <c r="G75" i="22" s="1"/>
  <c r="F76" i="22"/>
  <c r="G76" i="22" s="1"/>
  <c r="F77" i="22"/>
  <c r="G77" i="22" s="1"/>
  <c r="F78" i="22"/>
  <c r="G78" i="22" s="1"/>
  <c r="F79" i="22"/>
  <c r="G79" i="22" s="1"/>
  <c r="F80" i="22"/>
  <c r="G80" i="22" s="1"/>
  <c r="F81" i="22"/>
  <c r="G81" i="22" s="1"/>
  <c r="F82" i="22"/>
  <c r="G82" i="22" s="1"/>
  <c r="F83" i="22"/>
  <c r="G83" i="22" s="1"/>
  <c r="F84" i="22"/>
  <c r="G84" i="22" s="1"/>
  <c r="F85" i="22"/>
  <c r="G85" i="22" s="1"/>
  <c r="F86" i="22"/>
  <c r="G86" i="22" s="1"/>
  <c r="F87" i="22"/>
  <c r="G87" i="22" s="1"/>
  <c r="F88" i="22"/>
  <c r="G88" i="22" s="1"/>
  <c r="F89" i="22"/>
  <c r="G89" i="22" s="1"/>
  <c r="F90" i="22"/>
  <c r="G90" i="22" s="1"/>
  <c r="F91" i="22"/>
  <c r="G91" i="22" s="1"/>
  <c r="F92" i="22"/>
  <c r="G92" i="22" s="1"/>
  <c r="F93" i="22"/>
  <c r="G93" i="22" s="1"/>
  <c r="F94" i="22"/>
  <c r="G94" i="22" s="1"/>
  <c r="F95" i="22"/>
  <c r="G95" i="22" s="1"/>
  <c r="F96" i="22"/>
  <c r="G96" i="22" s="1"/>
  <c r="F97" i="22"/>
  <c r="G97" i="22" s="1"/>
  <c r="F98" i="22"/>
  <c r="G98" i="22" s="1"/>
  <c r="F99" i="22"/>
  <c r="G99" i="22" s="1"/>
  <c r="F100" i="22"/>
  <c r="G100" i="22" s="1"/>
  <c r="F101" i="22"/>
  <c r="G101" i="22" s="1"/>
  <c r="F102" i="22"/>
  <c r="G102" i="22" s="1"/>
  <c r="F103" i="22"/>
  <c r="G103" i="22" s="1"/>
  <c r="F104" i="22"/>
  <c r="G104" i="22" s="1"/>
  <c r="F105" i="22"/>
  <c r="G105" i="22" s="1"/>
  <c r="F106" i="22"/>
  <c r="G106" i="22" s="1"/>
  <c r="F107" i="22"/>
  <c r="G107" i="22" s="1"/>
  <c r="F108" i="22"/>
  <c r="G108" i="22" s="1"/>
  <c r="F109" i="22"/>
  <c r="G109" i="22" s="1"/>
  <c r="F110" i="22"/>
  <c r="G110" i="22" s="1"/>
  <c r="F111" i="22"/>
  <c r="G111" i="22" s="1"/>
  <c r="F112" i="22"/>
  <c r="G112" i="22" s="1"/>
  <c r="F113" i="22"/>
  <c r="G113" i="22" s="1"/>
  <c r="F114" i="22"/>
  <c r="G114" i="22" s="1"/>
  <c r="F115" i="22"/>
  <c r="G115" i="22" s="1"/>
  <c r="F116" i="22"/>
  <c r="G116" i="22" s="1"/>
  <c r="F117" i="22"/>
  <c r="G117" i="22" s="1"/>
  <c r="F118" i="22"/>
  <c r="G118" i="22" s="1"/>
  <c r="F119" i="22"/>
  <c r="G119" i="22" s="1"/>
  <c r="F120" i="22"/>
  <c r="G120" i="22" s="1"/>
  <c r="F121" i="22"/>
  <c r="G121" i="22" s="1"/>
  <c r="F122" i="22"/>
  <c r="G122" i="22" s="1"/>
  <c r="F123" i="22"/>
  <c r="G123" i="22" s="1"/>
  <c r="F124" i="22"/>
  <c r="G124" i="22" s="1"/>
  <c r="F125" i="22"/>
  <c r="G125" i="22" s="1"/>
  <c r="F126" i="22"/>
  <c r="G126" i="22" s="1"/>
  <c r="F127" i="22"/>
  <c r="G127" i="22" s="1"/>
  <c r="F128" i="22"/>
  <c r="G128" i="22" s="1"/>
  <c r="F129" i="22"/>
  <c r="G129" i="22" s="1"/>
  <c r="F130" i="22"/>
  <c r="G130" i="22" s="1"/>
  <c r="F131" i="22"/>
  <c r="G131" i="22" s="1"/>
  <c r="F132" i="22"/>
  <c r="G132" i="22" s="1"/>
  <c r="F133" i="22"/>
  <c r="G133" i="22" s="1"/>
  <c r="F134" i="22"/>
  <c r="G134" i="22" s="1"/>
  <c r="F135" i="22"/>
  <c r="G135" i="22" s="1"/>
  <c r="F136" i="22"/>
  <c r="G136" i="22" s="1"/>
  <c r="F137" i="22"/>
  <c r="G137" i="22" s="1"/>
  <c r="F138" i="22"/>
  <c r="G138" i="22" s="1"/>
  <c r="F139" i="22"/>
  <c r="G139" i="22" s="1"/>
  <c r="F140" i="22"/>
  <c r="G140" i="22" s="1"/>
  <c r="F141" i="22"/>
  <c r="G141" i="22" s="1"/>
  <c r="F142" i="22"/>
  <c r="G142" i="22" s="1"/>
  <c r="F143" i="22"/>
  <c r="G143" i="22" s="1"/>
  <c r="F144" i="22"/>
  <c r="G144" i="22" s="1"/>
  <c r="F145" i="22"/>
  <c r="G145" i="22" s="1"/>
  <c r="F146" i="22"/>
  <c r="G146" i="22" s="1"/>
  <c r="F147" i="22"/>
  <c r="G147" i="22" s="1"/>
  <c r="F148" i="22"/>
  <c r="G148" i="22" s="1"/>
  <c r="F149" i="22"/>
  <c r="G149" i="22" s="1"/>
  <c r="F150" i="22"/>
  <c r="G150" i="22" s="1"/>
  <c r="F151" i="22"/>
  <c r="G151" i="22" s="1"/>
  <c r="F152" i="22"/>
  <c r="G152" i="22" s="1"/>
  <c r="F153" i="22"/>
  <c r="G153" i="22" s="1"/>
  <c r="F154" i="22"/>
  <c r="G154" i="22" s="1"/>
  <c r="F155" i="22"/>
  <c r="G155" i="22" s="1"/>
  <c r="F156" i="22"/>
  <c r="G156" i="22" s="1"/>
  <c r="F157" i="22"/>
  <c r="G157" i="22" s="1"/>
  <c r="F158" i="22"/>
  <c r="G158" i="22" s="1"/>
  <c r="F159" i="22"/>
  <c r="G159" i="22" s="1"/>
  <c r="F160" i="22"/>
  <c r="G160" i="22" s="1"/>
  <c r="F161" i="22"/>
  <c r="G161" i="22" s="1"/>
  <c r="F162" i="22"/>
  <c r="G162" i="22" s="1"/>
  <c r="F163" i="22"/>
  <c r="G163" i="22" s="1"/>
  <c r="F164" i="22"/>
  <c r="G164" i="22" s="1"/>
  <c r="F165" i="22"/>
  <c r="G165" i="22" s="1"/>
  <c r="F166" i="22"/>
  <c r="G166" i="22" s="1"/>
  <c r="F167" i="22"/>
  <c r="G167" i="22" s="1"/>
  <c r="F168" i="22"/>
  <c r="G168" i="22" s="1"/>
  <c r="F169" i="22"/>
  <c r="G169" i="22" s="1"/>
  <c r="F170" i="22"/>
  <c r="G170" i="22" s="1"/>
  <c r="F171" i="22"/>
  <c r="G171" i="22" s="1"/>
  <c r="F172" i="22"/>
  <c r="G172" i="22" s="1"/>
  <c r="F173" i="22"/>
  <c r="G173" i="22" s="1"/>
  <c r="F174" i="22"/>
  <c r="G174" i="22" s="1"/>
  <c r="F175" i="22"/>
  <c r="G175" i="22" s="1"/>
  <c r="F176" i="22"/>
  <c r="G176" i="22" s="1"/>
  <c r="F177" i="22"/>
  <c r="G177" i="22" s="1"/>
  <c r="F178" i="22"/>
  <c r="G178" i="22" s="1"/>
  <c r="F179" i="22"/>
  <c r="G179" i="22" s="1"/>
  <c r="F180" i="22"/>
  <c r="G180" i="22" s="1"/>
  <c r="F181" i="22"/>
  <c r="G181" i="22" s="1"/>
  <c r="F182" i="22"/>
  <c r="G182" i="22" s="1"/>
  <c r="F183" i="22"/>
  <c r="G183" i="22" s="1"/>
  <c r="F184" i="22"/>
  <c r="G184" i="22" s="1"/>
  <c r="F185" i="22"/>
  <c r="G185" i="22" s="1"/>
  <c r="F186" i="22"/>
  <c r="G186" i="22" s="1"/>
  <c r="F187" i="22"/>
  <c r="G187" i="22" s="1"/>
  <c r="F188" i="22"/>
  <c r="G188" i="22" s="1"/>
  <c r="F189" i="22"/>
  <c r="G189" i="22" s="1"/>
  <c r="F190" i="22"/>
  <c r="G190" i="22" s="1"/>
  <c r="F191" i="22"/>
  <c r="G191" i="22" s="1"/>
  <c r="F192" i="22"/>
  <c r="G192" i="22" s="1"/>
  <c r="F193" i="22"/>
  <c r="G193" i="22" s="1"/>
  <c r="F194" i="22"/>
  <c r="G194" i="22" s="1"/>
  <c r="F195" i="22"/>
  <c r="G195" i="22" s="1"/>
  <c r="F196" i="22"/>
  <c r="G196" i="22" s="1"/>
  <c r="F197" i="22"/>
  <c r="G197" i="22" s="1"/>
  <c r="F198" i="22"/>
  <c r="G198" i="22" s="1"/>
  <c r="F199" i="22"/>
  <c r="G199" i="22" s="1"/>
  <c r="F200" i="22"/>
  <c r="G200" i="22" s="1"/>
  <c r="F201" i="22"/>
  <c r="G201" i="22" s="1"/>
  <c r="F202" i="22"/>
  <c r="G202" i="22" s="1"/>
  <c r="F203" i="22"/>
  <c r="G203" i="22" s="1"/>
  <c r="F204" i="22"/>
  <c r="G204" i="22" s="1"/>
  <c r="F205" i="22"/>
  <c r="G205" i="22" s="1"/>
  <c r="F206" i="22"/>
  <c r="G206" i="22" s="1"/>
  <c r="F207" i="22"/>
  <c r="G207" i="22" s="1"/>
  <c r="F208" i="22"/>
  <c r="G208" i="22" s="1"/>
  <c r="F209" i="22"/>
  <c r="G209" i="22" s="1"/>
  <c r="F210" i="22"/>
  <c r="G210" i="22" s="1"/>
  <c r="F211" i="22"/>
  <c r="G211" i="22" s="1"/>
  <c r="F212" i="22"/>
  <c r="G212" i="22" s="1"/>
  <c r="F213" i="22"/>
  <c r="G213" i="22" s="1"/>
  <c r="F214" i="22"/>
  <c r="G214" i="22" s="1"/>
  <c r="F215" i="22"/>
  <c r="G215" i="22" s="1"/>
  <c r="F216" i="22"/>
  <c r="G216" i="22" s="1"/>
  <c r="F217" i="22"/>
  <c r="G217" i="22" s="1"/>
  <c r="F218" i="22"/>
  <c r="G218" i="22" s="1"/>
  <c r="F219" i="22"/>
  <c r="G219" i="22" s="1"/>
  <c r="F220" i="22"/>
  <c r="G220" i="22" s="1"/>
  <c r="F221" i="22"/>
  <c r="G221" i="22" s="1"/>
  <c r="F222" i="22"/>
  <c r="G222" i="22" s="1"/>
  <c r="F223" i="22"/>
  <c r="G223" i="22" s="1"/>
  <c r="F224" i="22"/>
  <c r="G224" i="22" s="1"/>
  <c r="F225" i="22"/>
  <c r="G225" i="22" s="1"/>
  <c r="F226" i="22"/>
  <c r="G226" i="22" s="1"/>
  <c r="F227" i="22"/>
  <c r="G227" i="22" s="1"/>
  <c r="F228" i="22"/>
  <c r="G228" i="22" s="1"/>
  <c r="F229" i="22"/>
  <c r="G229" i="22" s="1"/>
  <c r="F230" i="22"/>
  <c r="G230" i="22" s="1"/>
  <c r="F231" i="22"/>
  <c r="G231" i="22" s="1"/>
  <c r="F232" i="22"/>
  <c r="G232" i="22" s="1"/>
  <c r="F233" i="22"/>
  <c r="G233" i="22" s="1"/>
  <c r="F234" i="22"/>
  <c r="G234" i="22" s="1"/>
  <c r="F235" i="22"/>
  <c r="G235" i="22" s="1"/>
  <c r="F236" i="22"/>
  <c r="G236" i="22" s="1"/>
  <c r="F237" i="22"/>
  <c r="G237" i="22" s="1"/>
  <c r="F238" i="22"/>
  <c r="G238" i="22" s="1"/>
  <c r="F239" i="22"/>
  <c r="G239" i="22" s="1"/>
  <c r="F240" i="22"/>
  <c r="G240" i="22" s="1"/>
  <c r="F241" i="22"/>
  <c r="G241" i="22" s="1"/>
  <c r="F242" i="22"/>
  <c r="G242" i="22" s="1"/>
  <c r="F243" i="22"/>
  <c r="G243" i="22" s="1"/>
  <c r="F244" i="22"/>
  <c r="G244" i="22" s="1"/>
  <c r="F245" i="22"/>
  <c r="G245" i="22" s="1"/>
  <c r="F246" i="22"/>
  <c r="G246" i="22" s="1"/>
  <c r="F247" i="22"/>
  <c r="G247" i="22" s="1"/>
  <c r="F248" i="22"/>
  <c r="G248" i="22" s="1"/>
  <c r="F249" i="22"/>
  <c r="G249" i="22" s="1"/>
  <c r="F250" i="22"/>
  <c r="G250" i="22" s="1"/>
  <c r="F251" i="22"/>
  <c r="G251" i="22" s="1"/>
  <c r="F252" i="22"/>
  <c r="G252" i="22" s="1"/>
  <c r="F253" i="22"/>
  <c r="G253" i="22" s="1"/>
  <c r="F254" i="22"/>
  <c r="G254" i="22" s="1"/>
  <c r="F255" i="22"/>
  <c r="G255" i="22" s="1"/>
  <c r="F256" i="22"/>
  <c r="G256" i="22" s="1"/>
  <c r="F257" i="22"/>
  <c r="G257" i="22" s="1"/>
  <c r="F258" i="22"/>
  <c r="G258" i="22" s="1"/>
  <c r="F259" i="22"/>
  <c r="G259" i="22" s="1"/>
  <c r="F260" i="22"/>
  <c r="G260" i="22" s="1"/>
  <c r="F261" i="22"/>
  <c r="G261" i="22" s="1"/>
  <c r="F262" i="22"/>
  <c r="G262" i="22" s="1"/>
  <c r="F263" i="22"/>
  <c r="G263" i="22" s="1"/>
  <c r="F264" i="22"/>
  <c r="G264" i="22" s="1"/>
  <c r="F265" i="22"/>
  <c r="G265" i="22" s="1"/>
  <c r="F266" i="22"/>
  <c r="G266" i="22" s="1"/>
  <c r="F267" i="22"/>
  <c r="G267" i="22" s="1"/>
  <c r="F268" i="22"/>
  <c r="G268" i="22" s="1"/>
  <c r="F269" i="22"/>
  <c r="G269" i="22" s="1"/>
  <c r="F270" i="22"/>
  <c r="G270" i="22" s="1"/>
  <c r="F271" i="22"/>
  <c r="G271" i="22" s="1"/>
  <c r="F272" i="22"/>
  <c r="G272" i="22" s="1"/>
  <c r="F273" i="22"/>
  <c r="G273" i="22" s="1"/>
  <c r="F274" i="22"/>
  <c r="G274" i="22" s="1"/>
  <c r="F275" i="22"/>
  <c r="G275" i="22" s="1"/>
  <c r="F276" i="22"/>
  <c r="G276" i="22" s="1"/>
  <c r="F277" i="22"/>
  <c r="G277" i="22" s="1"/>
  <c r="F278" i="22"/>
  <c r="G278" i="22" s="1"/>
  <c r="F279" i="22"/>
  <c r="G279" i="22" s="1"/>
  <c r="F280" i="22"/>
  <c r="G280" i="22" s="1"/>
  <c r="F281" i="22"/>
  <c r="G281" i="22" s="1"/>
  <c r="F282" i="22"/>
  <c r="G282" i="22" s="1"/>
  <c r="F283" i="22"/>
  <c r="G283" i="22" s="1"/>
  <c r="F284" i="22"/>
  <c r="G284" i="22" s="1"/>
  <c r="F285" i="22"/>
  <c r="G285" i="22" s="1"/>
  <c r="F286" i="22"/>
  <c r="G286" i="22" s="1"/>
  <c r="F287" i="22"/>
  <c r="G287" i="22" s="1"/>
  <c r="F288" i="22"/>
  <c r="G288" i="22" s="1"/>
  <c r="F289" i="22"/>
  <c r="G289" i="22" s="1"/>
  <c r="F290" i="22"/>
  <c r="G290" i="22" s="1"/>
  <c r="F291" i="22"/>
  <c r="G291" i="22" s="1"/>
  <c r="F292" i="22"/>
  <c r="G292" i="22" s="1"/>
  <c r="F293" i="22"/>
  <c r="G293" i="22" s="1"/>
  <c r="F294" i="22"/>
  <c r="G294" i="22" s="1"/>
  <c r="F295" i="22"/>
  <c r="G295" i="22" s="1"/>
  <c r="F296" i="22"/>
  <c r="G296" i="22" s="1"/>
  <c r="F297" i="22"/>
  <c r="G297" i="22" s="1"/>
  <c r="F298" i="22"/>
  <c r="G298" i="22" s="1"/>
  <c r="F299" i="22"/>
  <c r="G299" i="22" s="1"/>
  <c r="F300" i="22"/>
  <c r="G300" i="22" s="1"/>
  <c r="F301" i="22"/>
  <c r="G301" i="22" s="1"/>
  <c r="F302" i="22"/>
  <c r="G302" i="22" s="1"/>
  <c r="F303" i="22"/>
  <c r="G303" i="22" s="1"/>
  <c r="F304" i="22"/>
  <c r="G304" i="22" s="1"/>
  <c r="F305" i="22"/>
  <c r="G305" i="22" s="1"/>
  <c r="F306" i="22"/>
  <c r="G306" i="22" s="1"/>
  <c r="F307" i="22"/>
  <c r="G307" i="22" s="1"/>
  <c r="F308" i="22"/>
  <c r="G308" i="22" s="1"/>
  <c r="F309" i="22"/>
  <c r="G309" i="22" s="1"/>
  <c r="F310" i="22"/>
  <c r="G310" i="22" s="1"/>
  <c r="F311" i="22"/>
  <c r="G311" i="22" s="1"/>
  <c r="F312" i="22"/>
  <c r="G312" i="22" s="1"/>
  <c r="F313" i="22"/>
  <c r="G313" i="22" s="1"/>
  <c r="F314" i="22"/>
  <c r="G314" i="22" s="1"/>
  <c r="F315" i="22"/>
  <c r="G315" i="22" s="1"/>
  <c r="F316" i="22"/>
  <c r="G316" i="22" s="1"/>
  <c r="F317" i="22"/>
  <c r="G317" i="22" s="1"/>
  <c r="F318" i="22"/>
  <c r="G318" i="22" s="1"/>
  <c r="F319" i="22"/>
  <c r="G319" i="22" s="1"/>
  <c r="F320" i="22"/>
  <c r="G320" i="22" s="1"/>
  <c r="F321" i="22"/>
  <c r="G321" i="22" s="1"/>
  <c r="F322" i="22"/>
  <c r="G322" i="22" s="1"/>
  <c r="F323" i="22"/>
  <c r="G323" i="22" s="1"/>
  <c r="F324" i="22"/>
  <c r="G324" i="22" s="1"/>
  <c r="F325" i="22"/>
  <c r="G325" i="22" s="1"/>
  <c r="F326" i="22"/>
  <c r="G326" i="22" s="1"/>
  <c r="F327" i="22"/>
  <c r="G327" i="22" s="1"/>
  <c r="F328" i="22"/>
  <c r="G328" i="22" s="1"/>
  <c r="F329" i="22"/>
  <c r="G329" i="22" s="1"/>
  <c r="F330" i="22"/>
  <c r="G330" i="22" s="1"/>
  <c r="F331" i="22"/>
  <c r="G331" i="22" s="1"/>
  <c r="F332" i="22"/>
  <c r="G332" i="22" s="1"/>
  <c r="F333" i="22"/>
  <c r="G333" i="22" s="1"/>
  <c r="F334" i="22"/>
  <c r="G334" i="22" s="1"/>
  <c r="F335" i="22"/>
  <c r="G335" i="22" s="1"/>
  <c r="F336" i="22"/>
  <c r="G336" i="22" s="1"/>
  <c r="F337" i="22"/>
  <c r="G337" i="22" s="1"/>
  <c r="F338" i="22"/>
  <c r="G338" i="22" s="1"/>
  <c r="F339" i="22"/>
  <c r="G339" i="22" s="1"/>
  <c r="F340" i="22"/>
  <c r="G340" i="22" s="1"/>
  <c r="F341" i="22"/>
  <c r="G341" i="22" s="1"/>
  <c r="F342" i="22"/>
  <c r="G342" i="22" s="1"/>
  <c r="F343" i="22"/>
  <c r="G343" i="22" s="1"/>
  <c r="F344" i="22"/>
  <c r="G344" i="22" s="1"/>
  <c r="F345" i="22"/>
  <c r="G345" i="22" s="1"/>
  <c r="F346" i="22"/>
  <c r="G346" i="22" s="1"/>
  <c r="F347" i="22"/>
  <c r="G347" i="22" s="1"/>
  <c r="F348" i="22"/>
  <c r="G348" i="22" s="1"/>
  <c r="F349" i="22"/>
  <c r="G349" i="22" s="1"/>
  <c r="F350" i="22"/>
  <c r="G350" i="22" s="1"/>
  <c r="F351" i="22"/>
  <c r="G351" i="22" s="1"/>
  <c r="F352" i="22"/>
  <c r="G352" i="22" s="1"/>
  <c r="F353" i="22"/>
  <c r="G353" i="22" s="1"/>
  <c r="F354" i="22"/>
  <c r="G354" i="22" s="1"/>
  <c r="F355" i="22"/>
  <c r="G355" i="22" s="1"/>
  <c r="F356" i="22"/>
  <c r="G356" i="22" s="1"/>
  <c r="F357" i="22"/>
  <c r="G357" i="22" s="1"/>
  <c r="F358" i="22"/>
  <c r="G358" i="22" s="1"/>
  <c r="F359" i="22"/>
  <c r="G359" i="22" s="1"/>
  <c r="F360" i="22"/>
  <c r="G360" i="22" s="1"/>
  <c r="F361" i="22"/>
  <c r="G361" i="22" s="1"/>
  <c r="F362" i="22"/>
  <c r="G362" i="22" s="1"/>
  <c r="F363" i="22"/>
  <c r="G363" i="22" s="1"/>
  <c r="F364" i="22"/>
  <c r="G364" i="22" s="1"/>
  <c r="F365" i="22"/>
  <c r="G365" i="22" s="1"/>
  <c r="F366" i="22"/>
  <c r="G366" i="22" s="1"/>
  <c r="F367" i="22"/>
  <c r="G367" i="22" s="1"/>
  <c r="F368" i="22"/>
  <c r="G368" i="22" s="1"/>
  <c r="F369" i="22"/>
  <c r="G369" i="22" s="1"/>
  <c r="F370" i="22"/>
  <c r="G370" i="22" s="1"/>
  <c r="F371" i="22"/>
  <c r="G371" i="22" s="1"/>
  <c r="F372" i="22"/>
  <c r="G372" i="22" s="1"/>
  <c r="F373" i="22"/>
  <c r="G373" i="22" s="1"/>
  <c r="F374" i="22"/>
  <c r="G374" i="22" s="1"/>
  <c r="F375" i="22"/>
  <c r="G375" i="22" s="1"/>
  <c r="F376" i="22"/>
  <c r="G376" i="22" s="1"/>
  <c r="F377" i="22"/>
  <c r="G377" i="22" s="1"/>
  <c r="F378" i="22"/>
  <c r="G378" i="22" s="1"/>
  <c r="F379" i="22"/>
  <c r="G379" i="22" s="1"/>
  <c r="F380" i="22"/>
  <c r="G380" i="22" s="1"/>
  <c r="F381" i="22"/>
  <c r="G381" i="22" s="1"/>
  <c r="F382" i="22"/>
  <c r="G382" i="22" s="1"/>
  <c r="F383" i="22"/>
  <c r="G383" i="22" s="1"/>
  <c r="F384" i="22"/>
  <c r="G384" i="22" s="1"/>
  <c r="F385" i="22"/>
  <c r="G385" i="22" s="1"/>
  <c r="F386" i="22"/>
  <c r="G386" i="22" s="1"/>
  <c r="F387" i="22"/>
  <c r="G387" i="22" s="1"/>
  <c r="F388" i="22"/>
  <c r="G388" i="22" s="1"/>
  <c r="F389" i="22"/>
  <c r="G389" i="22" s="1"/>
  <c r="F390" i="22"/>
  <c r="G390" i="22" s="1"/>
  <c r="F391" i="22"/>
  <c r="G391" i="22" s="1"/>
  <c r="F392" i="22"/>
  <c r="G392" i="22" s="1"/>
  <c r="F393" i="22"/>
  <c r="G393" i="22" s="1"/>
  <c r="F394" i="22"/>
  <c r="G394" i="22" s="1"/>
  <c r="F395" i="22"/>
  <c r="G395" i="22" s="1"/>
  <c r="F396" i="22"/>
  <c r="G396" i="22" s="1"/>
  <c r="F397" i="22"/>
  <c r="G397" i="22" s="1"/>
  <c r="F398" i="22"/>
  <c r="G398" i="22" s="1"/>
  <c r="F399" i="22"/>
  <c r="G399" i="22" s="1"/>
  <c r="F400" i="22"/>
  <c r="G400" i="22" s="1"/>
  <c r="F401" i="22"/>
  <c r="G401" i="22" s="1"/>
  <c r="F402" i="22"/>
  <c r="G402" i="22" s="1"/>
  <c r="F403" i="22"/>
  <c r="G403" i="22" s="1"/>
  <c r="F404" i="22"/>
  <c r="G404" i="22" s="1"/>
  <c r="F405" i="22"/>
  <c r="G405" i="22" s="1"/>
  <c r="F406" i="22"/>
  <c r="G406" i="22" s="1"/>
  <c r="F407" i="22"/>
  <c r="G407" i="22" s="1"/>
  <c r="F408" i="22"/>
  <c r="G408" i="22" s="1"/>
  <c r="F409" i="22"/>
  <c r="G409" i="22" s="1"/>
  <c r="F410" i="22"/>
  <c r="G410" i="22" s="1"/>
  <c r="F411" i="22"/>
  <c r="G411" i="22" s="1"/>
  <c r="F412" i="22"/>
  <c r="G412" i="22" s="1"/>
  <c r="F413" i="22"/>
  <c r="G413" i="22" s="1"/>
  <c r="F414" i="22"/>
  <c r="G414" i="22" s="1"/>
  <c r="F415" i="22"/>
  <c r="G415" i="22" s="1"/>
  <c r="F416" i="22"/>
  <c r="G416" i="22" s="1"/>
  <c r="F417" i="22"/>
  <c r="G417" i="22" s="1"/>
  <c r="F418" i="22"/>
  <c r="G418" i="22" s="1"/>
  <c r="F419" i="22"/>
  <c r="G419" i="22" s="1"/>
  <c r="F420" i="22"/>
  <c r="G420" i="22" s="1"/>
  <c r="F421" i="22"/>
  <c r="G421" i="22" s="1"/>
  <c r="F422" i="22"/>
  <c r="G422" i="22" s="1"/>
  <c r="F423" i="22"/>
  <c r="G423" i="22" s="1"/>
  <c r="F424" i="22"/>
  <c r="G424" i="22" s="1"/>
  <c r="F425" i="22"/>
  <c r="G425" i="22" s="1"/>
  <c r="F426" i="22"/>
  <c r="G426" i="22" s="1"/>
  <c r="F427" i="22"/>
  <c r="G427" i="22" s="1"/>
  <c r="F428" i="22"/>
  <c r="G428" i="22" s="1"/>
  <c r="F429" i="22"/>
  <c r="G429" i="22" s="1"/>
  <c r="F430" i="22"/>
  <c r="G430" i="22" s="1"/>
  <c r="F431" i="22"/>
  <c r="G431" i="22" s="1"/>
  <c r="F432" i="22"/>
  <c r="G432" i="22" s="1"/>
  <c r="F433" i="22"/>
  <c r="G433" i="22" s="1"/>
  <c r="F434" i="22"/>
  <c r="G434" i="22" s="1"/>
  <c r="F435" i="22"/>
  <c r="G435" i="22" s="1"/>
  <c r="F436" i="22"/>
  <c r="G436" i="22" s="1"/>
  <c r="F437" i="22"/>
  <c r="G437" i="22" s="1"/>
  <c r="F438" i="22"/>
  <c r="G438" i="22" s="1"/>
  <c r="F439" i="22"/>
  <c r="G439" i="22" s="1"/>
  <c r="F440" i="22"/>
  <c r="G440" i="22" s="1"/>
  <c r="F441" i="22"/>
  <c r="G441" i="22" s="1"/>
  <c r="F442" i="22"/>
  <c r="G442" i="22" s="1"/>
  <c r="F443" i="22"/>
  <c r="G443" i="22" s="1"/>
  <c r="F444" i="22"/>
  <c r="G444" i="22" s="1"/>
  <c r="F445" i="22"/>
  <c r="G445" i="22" s="1"/>
  <c r="F446" i="22"/>
  <c r="G446" i="22" s="1"/>
  <c r="F447" i="22"/>
  <c r="G447" i="22" s="1"/>
  <c r="F448" i="22"/>
  <c r="G448" i="22" s="1"/>
  <c r="F449" i="22"/>
  <c r="G449" i="22" s="1"/>
  <c r="F450" i="22"/>
  <c r="G450" i="22" s="1"/>
  <c r="F451" i="22"/>
  <c r="G451" i="22" s="1"/>
  <c r="F452" i="22"/>
  <c r="G452" i="22" s="1"/>
  <c r="F453" i="22"/>
  <c r="G453" i="22" s="1"/>
  <c r="F454" i="22"/>
  <c r="G454" i="22" s="1"/>
  <c r="F455" i="22"/>
  <c r="G455" i="22" s="1"/>
  <c r="F456" i="22"/>
  <c r="G456" i="22" s="1"/>
  <c r="F457" i="22"/>
  <c r="G457" i="22" s="1"/>
  <c r="F458" i="22"/>
  <c r="G458" i="22" s="1"/>
  <c r="F459" i="22"/>
  <c r="G459" i="22" s="1"/>
  <c r="F460" i="22"/>
  <c r="G460" i="22" s="1"/>
  <c r="F461" i="22"/>
  <c r="G461" i="22" s="1"/>
  <c r="F462" i="22"/>
  <c r="G462" i="22" s="1"/>
  <c r="F463" i="22"/>
  <c r="G463" i="22" s="1"/>
  <c r="F464" i="22"/>
  <c r="G464" i="22" s="1"/>
  <c r="F465" i="22"/>
  <c r="G465" i="22" s="1"/>
  <c r="F466" i="22"/>
  <c r="G466" i="22" s="1"/>
  <c r="F467" i="22"/>
  <c r="G467" i="22" s="1"/>
  <c r="F468" i="22"/>
  <c r="G468" i="22" s="1"/>
  <c r="F469" i="22"/>
  <c r="G469" i="22" s="1"/>
  <c r="F470" i="22"/>
  <c r="G470" i="22" s="1"/>
  <c r="F471" i="22"/>
  <c r="G471" i="22" s="1"/>
  <c r="F472" i="22"/>
  <c r="G472" i="22" s="1"/>
  <c r="F473" i="22"/>
  <c r="G473" i="22" s="1"/>
  <c r="F474" i="22"/>
  <c r="G474" i="22" s="1"/>
  <c r="F475" i="22"/>
  <c r="G475" i="22" s="1"/>
  <c r="F476" i="22"/>
  <c r="G476" i="22" s="1"/>
  <c r="F477" i="22"/>
  <c r="G477" i="22" s="1"/>
  <c r="F478" i="22"/>
  <c r="G478" i="22" s="1"/>
  <c r="F479" i="22"/>
  <c r="G479" i="22" s="1"/>
  <c r="F480" i="22"/>
  <c r="G480" i="22" s="1"/>
  <c r="F481" i="22"/>
  <c r="G481" i="22" s="1"/>
  <c r="F482" i="22"/>
  <c r="G482" i="22" s="1"/>
  <c r="F483" i="22"/>
  <c r="G483" i="22" s="1"/>
  <c r="F484" i="22"/>
  <c r="G484" i="22" s="1"/>
  <c r="F485" i="22"/>
  <c r="G485" i="22" s="1"/>
  <c r="F486" i="22"/>
  <c r="G486" i="22" s="1"/>
  <c r="F487" i="22"/>
  <c r="G487" i="22" s="1"/>
  <c r="F488" i="22"/>
  <c r="G488" i="22" s="1"/>
  <c r="F489" i="22"/>
  <c r="G489" i="22" s="1"/>
  <c r="F490" i="22"/>
  <c r="G490" i="22" s="1"/>
  <c r="F491" i="22"/>
  <c r="G491" i="22" s="1"/>
  <c r="F492" i="22"/>
  <c r="G492" i="22" s="1"/>
  <c r="F493" i="22"/>
  <c r="G493" i="22" s="1"/>
  <c r="F494" i="22"/>
  <c r="G494" i="22" s="1"/>
  <c r="F495" i="22"/>
  <c r="G495" i="22" s="1"/>
  <c r="F496" i="22"/>
  <c r="G496" i="22" s="1"/>
  <c r="F497" i="22"/>
  <c r="G497" i="22" s="1"/>
  <c r="F498" i="22"/>
  <c r="G498" i="22" s="1"/>
  <c r="F499" i="22"/>
  <c r="G499" i="22" s="1"/>
  <c r="F500" i="22"/>
  <c r="G500" i="22" s="1"/>
  <c r="F501" i="22"/>
  <c r="G501" i="22" s="1"/>
  <c r="F502" i="22"/>
  <c r="G502" i="22" s="1"/>
  <c r="F503" i="22"/>
  <c r="G503" i="22" s="1"/>
  <c r="F504" i="22"/>
  <c r="G504" i="22" s="1"/>
  <c r="F505" i="22"/>
  <c r="G505" i="22" s="1"/>
  <c r="F506" i="22"/>
  <c r="G506" i="22" s="1"/>
  <c r="F507" i="22"/>
  <c r="G507" i="22" s="1"/>
  <c r="F8" i="22"/>
  <c r="G8" i="22" s="1"/>
  <c r="X34" i="29" l="1"/>
  <c r="X42" i="29"/>
  <c r="X50" i="29"/>
  <c r="X38" i="29"/>
  <c r="X46" i="29"/>
  <c r="X41" i="29"/>
  <c r="X54" i="29"/>
  <c r="X49" i="29"/>
  <c r="X37" i="29"/>
  <c r="X32" i="29"/>
  <c r="X45" i="29"/>
  <c r="X40" i="29"/>
  <c r="X53" i="29"/>
  <c r="X36" i="29"/>
  <c r="X31" i="29"/>
  <c r="X44" i="29"/>
  <c r="X39" i="29"/>
  <c r="X52" i="29"/>
  <c r="X47" i="29"/>
  <c r="X35" i="29"/>
  <c r="X43" i="29"/>
  <c r="X51" i="29"/>
  <c r="H44" i="29"/>
  <c r="H45" i="29"/>
  <c r="H46" i="29"/>
  <c r="H47" i="29"/>
  <c r="H48" i="29"/>
  <c r="H49" i="29"/>
  <c r="H50" i="29"/>
  <c r="H51" i="29"/>
  <c r="H52" i="29"/>
  <c r="H43" i="29"/>
  <c r="E43" i="29"/>
  <c r="F43" i="29"/>
  <c r="G43" i="29"/>
  <c r="E44" i="29"/>
  <c r="F44" i="29"/>
  <c r="G44" i="29"/>
  <c r="E45" i="29"/>
  <c r="F45" i="29"/>
  <c r="G45" i="29"/>
  <c r="E46" i="29"/>
  <c r="F46" i="29"/>
  <c r="G46" i="29"/>
  <c r="E47" i="29"/>
  <c r="F47" i="29"/>
  <c r="G47" i="29"/>
  <c r="E48" i="29"/>
  <c r="F48" i="29"/>
  <c r="G48" i="29"/>
  <c r="E49" i="29"/>
  <c r="F49" i="29"/>
  <c r="G49" i="29"/>
  <c r="E50" i="29"/>
  <c r="F50" i="29"/>
  <c r="G50" i="29"/>
  <c r="E51" i="29"/>
  <c r="F51" i="29"/>
  <c r="G51" i="29"/>
  <c r="E52" i="29"/>
  <c r="F52" i="29"/>
  <c r="I52" i="29" s="1"/>
  <c r="G52" i="29"/>
  <c r="D44" i="29"/>
  <c r="D45" i="29"/>
  <c r="I45" i="29" s="1"/>
  <c r="D46" i="29"/>
  <c r="D47" i="29"/>
  <c r="D48" i="29"/>
  <c r="D49" i="29"/>
  <c r="I49" i="29" s="1"/>
  <c r="D50" i="29"/>
  <c r="D51" i="29"/>
  <c r="D52" i="29"/>
  <c r="D43" i="29"/>
  <c r="E33" i="29"/>
  <c r="F33" i="29"/>
  <c r="G33" i="29"/>
  <c r="E34" i="29"/>
  <c r="F34" i="29"/>
  <c r="I34" i="29" s="1"/>
  <c r="G34" i="29"/>
  <c r="E35" i="29"/>
  <c r="F35" i="29"/>
  <c r="G35" i="29"/>
  <c r="E36" i="29"/>
  <c r="F36" i="29"/>
  <c r="G36" i="29"/>
  <c r="E37" i="29"/>
  <c r="F37" i="29"/>
  <c r="G37" i="29"/>
  <c r="E38" i="29"/>
  <c r="F38" i="29"/>
  <c r="I38" i="29" s="1"/>
  <c r="G38" i="29"/>
  <c r="E39" i="29"/>
  <c r="F39" i="29"/>
  <c r="G39" i="29"/>
  <c r="E40" i="29"/>
  <c r="F40" i="29"/>
  <c r="G40" i="29"/>
  <c r="E41" i="29"/>
  <c r="F41" i="29"/>
  <c r="G41" i="29"/>
  <c r="E42" i="29"/>
  <c r="F42" i="29"/>
  <c r="I42" i="29" s="1"/>
  <c r="G42" i="29"/>
  <c r="D34" i="29"/>
  <c r="D35" i="29"/>
  <c r="I35" i="29" s="1"/>
  <c r="D36" i="29"/>
  <c r="D37" i="29"/>
  <c r="I37" i="29" s="1"/>
  <c r="D38" i="29"/>
  <c r="D39" i="29"/>
  <c r="I39" i="29" s="1"/>
  <c r="D40" i="29"/>
  <c r="D41" i="29"/>
  <c r="D42" i="29"/>
  <c r="D33" i="29"/>
  <c r="I33" i="29" s="1"/>
  <c r="E23" i="29"/>
  <c r="F23" i="29"/>
  <c r="G23" i="29"/>
  <c r="E24" i="29"/>
  <c r="F24" i="29"/>
  <c r="G24" i="29"/>
  <c r="E25" i="29"/>
  <c r="F25" i="29"/>
  <c r="G25" i="29"/>
  <c r="E26" i="29"/>
  <c r="F26" i="29"/>
  <c r="I26" i="29" s="1"/>
  <c r="G26" i="29"/>
  <c r="E27" i="29"/>
  <c r="F27" i="29"/>
  <c r="G27" i="29"/>
  <c r="E28" i="29"/>
  <c r="F28" i="29"/>
  <c r="I28" i="29" s="1"/>
  <c r="G28" i="29"/>
  <c r="E29" i="29"/>
  <c r="F29" i="29"/>
  <c r="G29" i="29"/>
  <c r="E30" i="29"/>
  <c r="F30" i="29"/>
  <c r="G30" i="29"/>
  <c r="E31" i="29"/>
  <c r="F31" i="29"/>
  <c r="G31" i="29"/>
  <c r="E32" i="29"/>
  <c r="F32" i="29"/>
  <c r="I32" i="29" s="1"/>
  <c r="G32" i="29"/>
  <c r="D24" i="29"/>
  <c r="D25" i="29"/>
  <c r="I25" i="29" s="1"/>
  <c r="D26" i="29"/>
  <c r="D27" i="29"/>
  <c r="I27" i="29" s="1"/>
  <c r="D28" i="29"/>
  <c r="D29" i="29"/>
  <c r="I29" i="29" s="1"/>
  <c r="D30" i="29"/>
  <c r="D31" i="29"/>
  <c r="I31" i="29" s="1"/>
  <c r="D32" i="29"/>
  <c r="D23" i="29"/>
  <c r="I23" i="29" s="1"/>
  <c r="I30" i="29" l="1"/>
  <c r="I40" i="29"/>
  <c r="I41" i="29"/>
  <c r="I47" i="29"/>
  <c r="I36" i="29"/>
  <c r="I44" i="29"/>
  <c r="I24" i="29"/>
  <c r="I48" i="29"/>
  <c r="I46" i="29"/>
  <c r="I43" i="29"/>
  <c r="I50" i="29"/>
  <c r="I5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潘峰</author>
    <author>阿宁</author>
    <author>董图图</author>
  </authors>
  <commentList>
    <comment ref="C1" authorId="0" shapeId="0" xr:uid="{00000000-0006-0000-0000-000001000000}">
      <text>
        <r>
          <rPr>
            <b/>
            <sz val="9"/>
            <rFont val="宋体"/>
            <family val="3"/>
            <charset val="134"/>
          </rPr>
          <t>潘峰:</t>
        </r>
        <r>
          <rPr>
            <sz val="9"/>
            <rFont val="宋体"/>
            <family val="3"/>
            <charset val="134"/>
          </rPr>
          <t xml:space="preserve">
需要导出的表填1，不需要导出的表填0</t>
        </r>
      </text>
    </comment>
    <comment ref="A2" authorId="1" shapeId="0" xr:uid="{00000000-0006-0000-0000-000002000000}">
      <text>
        <r>
          <rPr>
            <sz val="9"/>
            <rFont val="宋体"/>
            <family val="3"/>
            <charset val="134"/>
          </rPr>
          <t>Base</t>
        </r>
      </text>
    </comment>
    <comment ref="A3" authorId="1" shapeId="0" xr:uid="{00000000-0006-0000-0000-000003000000}">
      <text>
        <r>
          <rPr>
            <sz val="9"/>
            <rFont val="宋体"/>
            <family val="3"/>
            <charset val="134"/>
          </rPr>
          <t>Character</t>
        </r>
      </text>
    </comment>
    <comment ref="A4" authorId="1" shapeId="0" xr:uid="{00000000-0006-0000-0000-000004000000}">
      <text>
        <r>
          <rPr>
            <sz val="9"/>
            <rFont val="宋体"/>
            <family val="3"/>
            <charset val="134"/>
          </rPr>
          <t>Inspiration</t>
        </r>
      </text>
    </comment>
    <comment ref="A5" authorId="1" shapeId="0" xr:uid="{00000000-0006-0000-0000-000005000000}">
      <text>
        <r>
          <rPr>
            <sz val="9"/>
            <rFont val="宋体"/>
            <family val="3"/>
            <charset val="134"/>
          </rPr>
          <t>Monster</t>
        </r>
      </text>
    </comment>
    <comment ref="A6" authorId="1" shapeId="0" xr:uid="{00000000-0006-0000-0000-000006000000}">
      <text>
        <r>
          <rPr>
            <sz val="9"/>
            <rFont val="宋体"/>
            <family val="3"/>
            <charset val="134"/>
          </rPr>
          <t>Voice</t>
        </r>
      </text>
    </comment>
    <comment ref="A7" authorId="1" shapeId="0" xr:uid="{00000000-0006-0000-0000-000007000000}">
      <text>
        <r>
          <rPr>
            <sz val="9"/>
            <rFont val="宋体"/>
            <family val="3"/>
            <charset val="134"/>
          </rPr>
          <t>PicSuit</t>
        </r>
      </text>
    </comment>
    <comment ref="A8" authorId="1" shapeId="0" xr:uid="{00000000-0006-0000-0000-000008000000}">
      <text>
        <r>
          <rPr>
            <sz val="9"/>
            <rFont val="宋体"/>
            <family val="3"/>
            <charset val="134"/>
          </rPr>
          <t>Picture</t>
        </r>
      </text>
    </comment>
    <comment ref="A9" authorId="1" shapeId="0" xr:uid="{00000000-0006-0000-0000-000009000000}">
      <text>
        <r>
          <rPr>
            <sz val="9"/>
            <rFont val="宋体"/>
            <family val="3"/>
            <charset val="134"/>
          </rPr>
          <t>MainItem</t>
        </r>
      </text>
    </comment>
    <comment ref="A10" authorId="1" shapeId="0" xr:uid="{00000000-0006-0000-0000-00000A000000}">
      <text>
        <r>
          <rPr>
            <sz val="9"/>
            <rFont val="宋体"/>
            <family val="3"/>
            <charset val="134"/>
          </rPr>
          <t>Animation</t>
        </r>
      </text>
    </comment>
    <comment ref="A11" authorId="1" shapeId="0" xr:uid="{00000000-0006-0000-0000-00000B000000}">
      <text>
        <r>
          <rPr>
            <sz val="9"/>
            <rFont val="宋体"/>
            <family val="3"/>
            <charset val="134"/>
          </rPr>
          <t>AnimationType</t>
        </r>
      </text>
    </comment>
    <comment ref="A12" authorId="1" shapeId="0" xr:uid="{00000000-0006-0000-0000-00000C000000}">
      <text>
        <r>
          <rPr>
            <sz val="9"/>
            <rFont val="宋体"/>
            <family val="3"/>
            <charset val="134"/>
          </rPr>
          <t>AnimationType</t>
        </r>
      </text>
    </comment>
    <comment ref="A13" authorId="2" shapeId="0" xr:uid="{00000000-0006-0000-0000-00000D000000}">
      <text>
        <r>
          <rPr>
            <sz val="9"/>
            <color indexed="81"/>
            <rFont val="宋体"/>
            <family val="3"/>
            <charset val="134"/>
          </rPr>
          <t>InspirationSuit</t>
        </r>
      </text>
    </comment>
    <comment ref="A14" authorId="2" shapeId="0" xr:uid="{00000000-0006-0000-0000-00000E000000}">
      <text>
        <r>
          <rPr>
            <sz val="9"/>
            <color indexed="81"/>
            <rFont val="宋体"/>
            <family val="3"/>
            <charset val="134"/>
          </rPr>
          <t>InspirationStar</t>
        </r>
      </text>
    </comment>
    <comment ref="A15" authorId="2" shapeId="0" xr:uid="{00000000-0006-0000-0000-00000F000000}">
      <text>
        <r>
          <rPr>
            <sz val="9"/>
            <color indexed="81"/>
            <rFont val="宋体"/>
            <family val="3"/>
            <charset val="134"/>
          </rPr>
          <t>TeamConfig</t>
        </r>
      </text>
    </comment>
    <comment ref="A16" authorId="2" shapeId="0" xr:uid="{00000000-0006-0000-0000-000010000000}">
      <text>
        <r>
          <rPr>
            <sz val="9"/>
            <color indexed="81"/>
            <rFont val="宋体"/>
            <family val="3"/>
            <charset val="134"/>
          </rPr>
          <t>TeamConfig</t>
        </r>
      </text>
    </comment>
    <comment ref="A17" authorId="2" shapeId="0" xr:uid="{00000000-0006-0000-0000-000011000000}">
      <text>
        <r>
          <rPr>
            <sz val="9"/>
            <color indexed="81"/>
            <rFont val="宋体"/>
            <family val="3"/>
            <charset val="134"/>
          </rPr>
          <t>Hero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wuchangjiang</author>
    <author>阿宁</author>
  </authors>
  <commentList>
    <comment ref="A7" authorId="0" shapeId="0" xr:uid="{00000000-0006-0000-0100-000001000000}">
      <text>
        <r>
          <rPr>
            <sz val="9"/>
            <rFont val="宋体"/>
            <family val="3"/>
            <charset val="134"/>
          </rPr>
          <t xml:space="preserve">18/04/08 18:00 wuchangjiang
17/01/19 14:32 AutoBVT
</t>
        </r>
      </text>
    </comment>
    <comment ref="B7" authorId="1" shapeId="0" xr:uid="{00000000-0006-0000-0100-000002000000}">
      <text>
        <r>
          <rPr>
            <sz val="9"/>
            <rFont val="宋体"/>
            <family val="3"/>
            <charset val="134"/>
          </rPr>
          <t xml:space="preserve">22/07/04 12:04 阿宁
18/04/08 18:01 wuchangjiang
18/04/08 18:00 wuchangjiang
</t>
        </r>
      </text>
    </comment>
    <comment ref="C7" authorId="1" shapeId="0" xr:uid="{00000000-0006-0000-0100-000003000000}">
      <text>
        <r>
          <rPr>
            <sz val="9"/>
            <rFont val="宋体"/>
            <family val="3"/>
            <charset val="134"/>
          </rPr>
          <t xml:space="preserve">22/07/04 12:05 阿宁
</t>
        </r>
      </text>
    </comment>
    <comment ref="D7" authorId="1" shapeId="0" xr:uid="{00000000-0006-0000-0100-000004000000}">
      <text>
        <r>
          <rPr>
            <sz val="9"/>
            <rFont val="宋体"/>
            <family val="3"/>
            <charset val="134"/>
          </rPr>
          <t xml:space="preserve">22/07/04 12:07 阿宁
</t>
        </r>
      </text>
    </comment>
    <comment ref="E7" authorId="1" shapeId="0" xr:uid="{00000000-0006-0000-0100-000005000000}">
      <text>
        <r>
          <rPr>
            <sz val="9"/>
            <rFont val="宋体"/>
            <family val="3"/>
            <charset val="134"/>
          </rPr>
          <t xml:space="preserve">22/09/02 18:04 阿宁
22/07/04 12:07 阿宁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阿宁</author>
  </authors>
  <commentList>
    <comment ref="A7" authorId="0" shapeId="0" xr:uid="{00000000-0006-0000-0200-000001000000}">
      <text>
        <r>
          <rPr>
            <sz val="9"/>
            <rFont val="宋体"/>
            <family val="3"/>
            <charset val="134"/>
          </rPr>
          <t xml:space="preserve">22/07/04 12:04 阿宁
</t>
        </r>
      </text>
    </comment>
    <comment ref="B7" authorId="0" shapeId="0" xr:uid="{00000000-0006-0000-0200-000002000000}">
      <text>
        <r>
          <rPr>
            <sz val="9"/>
            <rFont val="宋体"/>
            <family val="3"/>
            <charset val="134"/>
          </rPr>
          <t xml:space="preserve">22/07/04 12:09 阿宁
</t>
        </r>
      </text>
    </comment>
    <comment ref="C7" authorId="0" shapeId="0" xr:uid="{00000000-0006-0000-0200-000003000000}">
      <text>
        <r>
          <rPr>
            <sz val="9"/>
            <rFont val="宋体"/>
            <family val="3"/>
            <charset val="134"/>
          </rPr>
          <t xml:space="preserve">22/07/04 12:10 阿宁
</t>
        </r>
      </text>
    </comment>
    <comment ref="D7" authorId="0" shapeId="0" xr:uid="{00000000-0006-0000-0200-000004000000}">
      <text>
        <r>
          <rPr>
            <sz val="9"/>
            <rFont val="宋体"/>
            <family val="3"/>
            <charset val="134"/>
          </rPr>
          <t xml:space="preserve">22/07/04 12:11 阿宁
</t>
        </r>
      </text>
    </comment>
    <comment ref="E7" authorId="0" shapeId="0" xr:uid="{00000000-0006-0000-0200-000005000000}">
      <text>
        <r>
          <rPr>
            <sz val="9"/>
            <rFont val="宋体"/>
            <family val="3"/>
            <charset val="134"/>
          </rPr>
          <t xml:space="preserve">22/07/04 12:11 阿宁
</t>
        </r>
      </text>
    </comment>
    <comment ref="F7" authorId="0" shapeId="0" xr:uid="{00000000-0006-0000-0200-000006000000}">
      <text>
        <r>
          <rPr>
            <sz val="9"/>
            <rFont val="宋体"/>
            <family val="3"/>
            <charset val="134"/>
          </rPr>
          <t xml:space="preserve">22/09/02 18:04 阿宁
22/07/04 12:12 阿宁
</t>
        </r>
      </text>
    </comment>
    <comment ref="G7" authorId="0" shapeId="0" xr:uid="{00000000-0006-0000-0200-000007000000}">
      <text>
        <r>
          <rPr>
            <sz val="9"/>
            <rFont val="宋体"/>
            <family val="3"/>
            <charset val="134"/>
          </rPr>
          <t xml:space="preserve">22/09/02 18:04 阿宁
22/07/04 12:12 阿宁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阿宁</author>
    <author>冬卿</author>
  </authors>
  <commentList>
    <comment ref="A7" authorId="0" shapeId="0" xr:uid="{00000000-0006-0000-0300-000001000000}">
      <text>
        <r>
          <rPr>
            <sz val="9"/>
            <rFont val="宋体"/>
            <family val="3"/>
            <charset val="134"/>
          </rPr>
          <t xml:space="preserve">22/09/05 16:36 阿宁
</t>
        </r>
      </text>
    </comment>
    <comment ref="B7" authorId="0" shapeId="0" xr:uid="{00000000-0006-0000-0300-000002000000}">
      <text>
        <r>
          <rPr>
            <sz val="9"/>
            <rFont val="宋体"/>
            <family val="3"/>
            <charset val="134"/>
          </rPr>
          <t xml:space="preserve">22/07/04 12:14 阿宁
22/07/04 12:13 阿宁
22/07/04 12:13 阿宁
</t>
        </r>
      </text>
    </comment>
    <comment ref="C7" authorId="0" shapeId="0" xr:uid="{00000000-0006-0000-0300-000003000000}">
      <text>
        <r>
          <rPr>
            <sz val="9"/>
            <rFont val="宋体"/>
            <family val="3"/>
            <charset val="134"/>
          </rPr>
          <t xml:space="preserve">22/09/05 16:37 阿宁
</t>
        </r>
      </text>
    </comment>
    <comment ref="D7" authorId="0" shapeId="0" xr:uid="{00000000-0006-0000-0300-000004000000}">
      <text>
        <r>
          <rPr>
            <sz val="9"/>
            <rFont val="宋体"/>
            <family val="3"/>
            <charset val="134"/>
          </rPr>
          <t xml:space="preserve">22/09/05 16:38 阿宁
</t>
        </r>
      </text>
    </comment>
    <comment ref="E7" authorId="1" shapeId="0" xr:uid="{00000000-0006-0000-0300-000005000000}">
      <text>
        <r>
          <rPr>
            <sz val="9"/>
            <rFont val="宋体"/>
            <family val="3"/>
            <charset val="134"/>
          </rPr>
          <t xml:space="preserve">22/09/05 17:14 冬卿
22/09/05 17:14 冬卿
22/09/05 16:37 阿宁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董图图</author>
  </authors>
  <commentList>
    <comment ref="A7" authorId="0" shapeId="0" xr:uid="{00000000-0006-0000-0400-000001000000}">
      <text>
        <r>
          <rPr>
            <sz val="9"/>
            <color indexed="81"/>
            <rFont val="宋体"/>
            <family val="3"/>
            <charset val="134"/>
          </rPr>
          <t xml:space="preserve">24/12/12 14:59 董图图
</t>
        </r>
      </text>
    </comment>
    <comment ref="B7" authorId="0" shapeId="0" xr:uid="{00000000-0006-0000-0400-000002000000}">
      <text>
        <r>
          <rPr>
            <sz val="9"/>
            <color indexed="81"/>
            <rFont val="宋体"/>
            <family val="3"/>
            <charset val="134"/>
          </rPr>
          <t xml:space="preserve">24/12/12 15:00 董图图
</t>
        </r>
      </text>
    </comment>
    <comment ref="C7" authorId="0" shapeId="0" xr:uid="{00000000-0006-0000-0400-000003000000}">
      <text>
        <r>
          <rPr>
            <sz val="9"/>
            <color indexed="81"/>
            <rFont val="宋体"/>
            <family val="3"/>
            <charset val="134"/>
          </rPr>
          <t xml:space="preserve">24/12/12 15:00 董图图
</t>
        </r>
      </text>
    </comment>
    <comment ref="D7" authorId="0" shapeId="0" xr:uid="{00000000-0006-0000-0400-000004000000}">
      <text>
        <r>
          <rPr>
            <sz val="9"/>
            <color indexed="81"/>
            <rFont val="宋体"/>
            <family val="3"/>
            <charset val="134"/>
          </rPr>
          <t xml:space="preserve">24/12/12 15:00 董图图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wuchangjiang</author>
    <author>董图图</author>
    <author>阿宁</author>
  </authors>
  <commentList>
    <comment ref="A7" authorId="0" shapeId="0" xr:uid="{00000000-0006-0000-0500-000001000000}">
      <text>
        <r>
          <rPr>
            <sz val="9"/>
            <rFont val="宋体"/>
            <family val="3"/>
            <charset val="134"/>
          </rPr>
          <t xml:space="preserve">18/04/08 18:00 wuchangjiang
17/01/19 14:32 AutoBVT
</t>
        </r>
      </text>
    </comment>
    <comment ref="B7" authorId="1" shapeId="0" xr:uid="{00000000-0006-0000-0500-000002000000}">
      <text>
        <r>
          <rPr>
            <sz val="9"/>
            <color indexed="81"/>
            <rFont val="宋体"/>
            <family val="3"/>
            <charset val="134"/>
          </rPr>
          <t xml:space="preserve">24/12/30 18:01 董图图
22/07/04 12:07 阿宁
</t>
        </r>
      </text>
    </comment>
    <comment ref="C7" authorId="1" shapeId="0" xr:uid="{00000000-0006-0000-0500-000003000000}">
      <text>
        <r>
          <rPr>
            <sz val="9"/>
            <color indexed="81"/>
            <rFont val="宋体"/>
            <family val="3"/>
            <charset val="134"/>
          </rPr>
          <t xml:space="preserve">24/12/30 18:01 董图图
22/07/04 12:05 阿宁
</t>
        </r>
      </text>
    </comment>
    <comment ref="D7" authorId="1" shapeId="0" xr:uid="{00000000-0006-0000-0500-000004000000}">
      <text>
        <r>
          <rPr>
            <sz val="9"/>
            <color indexed="81"/>
            <rFont val="宋体"/>
            <family val="3"/>
            <charset val="134"/>
          </rPr>
          <t xml:space="preserve">24/12/12 11:49 董图图
</t>
        </r>
      </text>
    </comment>
    <comment ref="E7" authorId="1" shapeId="0" xr:uid="{00000000-0006-0000-0500-000005000000}">
      <text>
        <r>
          <rPr>
            <sz val="9"/>
            <color indexed="81"/>
            <rFont val="宋体"/>
            <family val="3"/>
            <charset val="134"/>
          </rPr>
          <t xml:space="preserve">24/12/12 15:49 董图图
24/12/12 15:48 董图图
</t>
        </r>
      </text>
    </comment>
    <comment ref="F7" authorId="2" shapeId="0" xr:uid="{00000000-0006-0000-0500-000006000000}">
      <text>
        <r>
          <rPr>
            <sz val="9"/>
            <rFont val="宋体"/>
            <family val="3"/>
            <charset val="134"/>
          </rPr>
          <t xml:space="preserve">22/07/04 12:07 阿宁
</t>
        </r>
      </text>
    </comment>
    <comment ref="G7" authorId="2" shapeId="0" xr:uid="{00000000-0006-0000-0500-000007000000}">
      <text>
        <r>
          <rPr>
            <sz val="9"/>
            <rFont val="宋体"/>
            <family val="3"/>
            <charset val="134"/>
          </rPr>
          <t xml:space="preserve">22/09/02 18:04 阿宁
22/07/04 12:07 阿宁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wuchangjiang</author>
    <author>阿宁</author>
    <author>董图图</author>
  </authors>
  <commentList>
    <comment ref="A7" authorId="0" shapeId="0" xr:uid="{00000000-0006-0000-0600-000001000000}">
      <text>
        <r>
          <rPr>
            <sz val="9"/>
            <rFont val="宋体"/>
            <family val="3"/>
            <charset val="134"/>
          </rPr>
          <t xml:space="preserve">18/04/08 18:00 wuchangjiang
17/01/19 14:32 AutoBVT
</t>
        </r>
      </text>
    </comment>
    <comment ref="B7" authorId="1" shapeId="0" xr:uid="{00000000-0006-0000-0600-000002000000}">
      <text>
        <r>
          <rPr>
            <sz val="9"/>
            <rFont val="宋体"/>
            <family val="3"/>
            <charset val="134"/>
          </rPr>
          <t xml:space="preserve">22/07/04 12:05 阿宁
</t>
        </r>
      </text>
    </comment>
    <comment ref="C7" authorId="2" shapeId="0" xr:uid="{00000000-0006-0000-0600-000003000000}">
      <text>
        <r>
          <rPr>
            <sz val="9"/>
            <color indexed="81"/>
            <rFont val="宋体"/>
            <family val="3"/>
            <charset val="134"/>
          </rPr>
          <t xml:space="preserve">24/12/12 15:49 董图图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阿宁</author>
    <author>董图图</author>
  </authors>
  <commentList>
    <comment ref="A7" authorId="0" shapeId="0" xr:uid="{00000000-0006-0000-0800-000001000000}">
      <text>
        <r>
          <rPr>
            <sz val="9"/>
            <rFont val="宋体"/>
            <family val="3"/>
            <charset val="134"/>
          </rPr>
          <t xml:space="preserve">22/07/04 12:04 阿宁
</t>
        </r>
      </text>
    </comment>
    <comment ref="B7" authorId="0" shapeId="0" xr:uid="{00000000-0006-0000-0800-000002000000}">
      <text>
        <r>
          <rPr>
            <sz val="9"/>
            <rFont val="宋体"/>
            <family val="3"/>
            <charset val="134"/>
          </rPr>
          <t xml:space="preserve">22/07/04 12:09 阿宁
</t>
        </r>
      </text>
    </comment>
    <comment ref="C7" authorId="0" shapeId="0" xr:uid="{00000000-0006-0000-0800-000003000000}">
      <text>
        <r>
          <rPr>
            <sz val="9"/>
            <rFont val="宋体"/>
            <family val="3"/>
            <charset val="134"/>
          </rPr>
          <t xml:space="preserve">22/07/04 12:10 阿宁
</t>
        </r>
      </text>
    </comment>
    <comment ref="D7" authorId="1" shapeId="0" xr:uid="{00000000-0006-0000-0800-000004000000}">
      <text>
        <r>
          <rPr>
            <sz val="9"/>
            <rFont val="宋体"/>
            <family val="3"/>
            <charset val="134"/>
          </rPr>
          <t xml:space="preserve">24/08/05 17:19 董图图
21/07/30 17:45 LeonQ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阿宁</author>
  </authors>
  <commentList>
    <comment ref="A7" authorId="0" shapeId="0" xr:uid="{00000000-0006-0000-0900-000001000000}">
      <text>
        <r>
          <rPr>
            <sz val="9"/>
            <rFont val="宋体"/>
            <family val="3"/>
            <charset val="134"/>
          </rPr>
          <t xml:space="preserve">22/07/04 12:04 阿宁
</t>
        </r>
      </text>
    </comment>
    <comment ref="B7" authorId="0" shapeId="0" xr:uid="{00000000-0006-0000-0900-000002000000}">
      <text>
        <r>
          <rPr>
            <sz val="9"/>
            <rFont val="宋体"/>
            <family val="3"/>
            <charset val="134"/>
          </rPr>
          <t xml:space="preserve">22/07/04 12:10 阿宁
</t>
        </r>
      </text>
    </comment>
    <comment ref="C7" authorId="0" shapeId="0" xr:uid="{00000000-0006-0000-0900-000003000000}">
      <text>
        <r>
          <rPr>
            <sz val="9"/>
            <rFont val="宋体"/>
            <family val="3"/>
            <charset val="134"/>
          </rPr>
          <t xml:space="preserve">22/07/04 12:11 阿宁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阿宁</author>
    <author>冬卿</author>
  </authors>
  <commentList>
    <comment ref="A7" authorId="0" shapeId="0" xr:uid="{00000000-0006-0000-0A00-000001000000}">
      <text>
        <r>
          <rPr>
            <sz val="9"/>
            <rFont val="宋体"/>
            <family val="3"/>
            <charset val="134"/>
          </rPr>
          <t xml:space="preserve">22/07/04 12:04 阿宁
</t>
        </r>
      </text>
    </comment>
    <comment ref="B7" authorId="0" shapeId="0" xr:uid="{00000000-0006-0000-0A00-000002000000}">
      <text>
        <r>
          <rPr>
            <sz val="9"/>
            <rFont val="宋体"/>
            <family val="3"/>
            <charset val="134"/>
          </rPr>
          <t xml:space="preserve">22/07/04 12:12 阿宁
</t>
        </r>
      </text>
    </comment>
    <comment ref="C7" authorId="0" shapeId="0" xr:uid="{00000000-0006-0000-0A00-000003000000}">
      <text>
        <r>
          <rPr>
            <sz val="9"/>
            <rFont val="宋体"/>
            <family val="3"/>
            <charset val="134"/>
          </rPr>
          <t xml:space="preserve">22/07/04 12:13 阿宁
</t>
        </r>
      </text>
    </comment>
    <comment ref="D7" authorId="0" shapeId="0" xr:uid="{00000000-0006-0000-0A00-000004000000}">
      <text>
        <r>
          <rPr>
            <sz val="9"/>
            <rFont val="宋体"/>
            <family val="3"/>
            <charset val="134"/>
          </rPr>
          <t xml:space="preserve">22/07/04 12:15 阿宁
</t>
        </r>
      </text>
    </comment>
    <comment ref="E7" authorId="0" shapeId="0" xr:uid="{00000000-0006-0000-0A00-000005000000}">
      <text>
        <r>
          <rPr>
            <sz val="9"/>
            <rFont val="宋体"/>
            <family val="3"/>
            <charset val="134"/>
          </rPr>
          <t xml:space="preserve">22/09/02 18:05 阿宁
22/07/04 12:15 阿宁
</t>
        </r>
      </text>
    </comment>
    <comment ref="F7" authorId="0" shapeId="0" xr:uid="{00000000-0006-0000-0A00-000006000000}">
      <text>
        <r>
          <rPr>
            <sz val="9"/>
            <rFont val="宋体"/>
            <family val="3"/>
            <charset val="134"/>
          </rPr>
          <t xml:space="preserve">22/07/04 12:15 阿宁
22/07/04 12:15 阿宁
</t>
        </r>
      </text>
    </comment>
    <comment ref="G7" authorId="0" shapeId="0" xr:uid="{00000000-0006-0000-0A00-000007000000}">
      <text>
        <r>
          <rPr>
            <sz val="9"/>
            <rFont val="宋体"/>
            <family val="3"/>
            <charset val="134"/>
          </rPr>
          <t xml:space="preserve">22/10/02 18:32 阿宁
</t>
        </r>
      </text>
    </comment>
    <comment ref="H7" authorId="1" shapeId="0" xr:uid="{00000000-0006-0000-0A00-000008000000}">
      <text>
        <r>
          <rPr>
            <sz val="9"/>
            <rFont val="宋体"/>
            <family val="3"/>
            <charset val="134"/>
          </rPr>
          <t xml:space="preserve">22/10/17 15:59 冬卿
22/10/02 18:32 阿宁
</t>
        </r>
      </text>
    </comment>
    <comment ref="I7" authorId="1" shapeId="0" xr:uid="{00000000-0006-0000-0A00-000009000000}">
      <text>
        <r>
          <rPr>
            <sz val="9"/>
            <rFont val="宋体"/>
            <family val="3"/>
            <charset val="134"/>
          </rPr>
          <t xml:space="preserve">22/10/17 16:01 冬卿
22/10/17 15:59 冬卿
22/10/02 18:32 阿宁
</t>
        </r>
      </text>
    </comment>
    <comment ref="J7" authorId="0" shapeId="0" xr:uid="{00000000-0006-0000-0A00-00000A000000}">
      <text>
        <r>
          <rPr>
            <sz val="9"/>
            <rFont val="宋体"/>
            <family val="3"/>
            <charset val="134"/>
          </rPr>
          <t xml:space="preserve">22/11/23 11:33 阿宁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阿宁</author>
  </authors>
  <commentList>
    <comment ref="A7" authorId="0" shapeId="0" xr:uid="{00000000-0006-0000-0B00-000001000000}">
      <text>
        <r>
          <rPr>
            <sz val="9"/>
            <rFont val="宋体"/>
            <family val="3"/>
            <charset val="134"/>
          </rPr>
          <t xml:space="preserve">22/09/02 18:01 阿宁
</t>
        </r>
      </text>
    </comment>
    <comment ref="B7" authorId="0" shapeId="0" xr:uid="{00000000-0006-0000-0B00-000002000000}">
      <text>
        <r>
          <rPr>
            <sz val="9"/>
            <rFont val="宋体"/>
            <family val="3"/>
            <charset val="134"/>
          </rPr>
          <t xml:space="preserve">22/09/02 18:04 阿宁
</t>
        </r>
      </text>
    </comment>
    <comment ref="C7" authorId="0" shapeId="0" xr:uid="{00000000-0006-0000-0B00-000003000000}">
      <text>
        <r>
          <rPr>
            <sz val="9"/>
            <rFont val="宋体"/>
            <family val="3"/>
            <charset val="134"/>
          </rPr>
          <t xml:space="preserve">22/09/02 18:04 阿宁
</t>
        </r>
      </text>
    </comment>
    <comment ref="D7" authorId="0" shapeId="0" xr:uid="{00000000-0006-0000-0B00-000004000000}">
      <text>
        <r>
          <rPr>
            <sz val="9"/>
            <rFont val="宋体"/>
            <family val="3"/>
            <charset val="134"/>
          </rPr>
          <t xml:space="preserve">22/09/02 18:04 阿宁
</t>
        </r>
      </text>
    </comment>
    <comment ref="E7" authorId="0" shapeId="0" xr:uid="{00000000-0006-0000-0B00-000005000000}">
      <text>
        <r>
          <rPr>
            <sz val="9"/>
            <rFont val="宋体"/>
            <family val="3"/>
            <charset val="134"/>
          </rPr>
          <t xml:space="preserve">22/09/02 18:07 阿宁
22/09/02 18:04 阿宁
</t>
        </r>
      </text>
    </comment>
    <comment ref="F7" authorId="0" shapeId="0" xr:uid="{00000000-0006-0000-0B00-000006000000}">
      <text>
        <r>
          <rPr>
            <sz val="9"/>
            <rFont val="宋体"/>
            <family val="3"/>
            <charset val="134"/>
          </rPr>
          <t xml:space="preserve">22/09/02 18:04 阿宁
</t>
        </r>
      </text>
    </comment>
    <comment ref="G7" authorId="0" shapeId="0" xr:uid="{00000000-0006-0000-0B00-000007000000}">
      <text>
        <r>
          <rPr>
            <sz val="9"/>
            <rFont val="宋体"/>
            <family val="3"/>
            <charset val="134"/>
          </rPr>
          <t xml:space="preserve">22/10/20 18:17 阿宁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阿宁</author>
    <author>Chann</author>
  </authors>
  <commentList>
    <comment ref="A7" authorId="0" shapeId="0" xr:uid="{00000000-0006-0000-0C00-000001000000}">
      <text>
        <r>
          <rPr>
            <sz val="9"/>
            <rFont val="宋体"/>
            <family val="3"/>
            <charset val="134"/>
          </rPr>
          <t xml:space="preserve">22/09/02 11:39 阿宁
</t>
        </r>
      </text>
    </comment>
    <comment ref="B7" authorId="0" shapeId="0" xr:uid="{00000000-0006-0000-0C00-000002000000}">
      <text>
        <r>
          <rPr>
            <sz val="9"/>
            <rFont val="宋体"/>
            <family val="3"/>
            <charset val="134"/>
          </rPr>
          <t xml:space="preserve">22/09/02 11:43 阿宁
</t>
        </r>
      </text>
    </comment>
    <comment ref="C7" authorId="0" shapeId="0" xr:uid="{00000000-0006-0000-0C00-000003000000}">
      <text>
        <r>
          <rPr>
            <sz val="9"/>
            <rFont val="宋体"/>
            <family val="3"/>
            <charset val="134"/>
          </rPr>
          <t xml:space="preserve">22/09/02 11:43 阿宁
</t>
        </r>
      </text>
    </comment>
    <comment ref="D7" authorId="1" shapeId="0" xr:uid="{00000000-0006-0000-0C00-000004000000}">
      <text>
        <r>
          <rPr>
            <sz val="9"/>
            <color indexed="81"/>
            <rFont val="宋体"/>
            <family val="3"/>
            <charset val="134"/>
          </rPr>
          <t xml:space="preserve">25/07/16 15:40 Chann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阿宁</author>
  </authors>
  <commentList>
    <comment ref="A7" authorId="0" shapeId="0" xr:uid="{00000000-0006-0000-0D00-000001000000}">
      <text>
        <r>
          <rPr>
            <sz val="9"/>
            <rFont val="宋体"/>
            <family val="3"/>
            <charset val="134"/>
          </rPr>
          <t xml:space="preserve">22/07/04 12:04 阿宁
</t>
        </r>
      </text>
    </comment>
    <comment ref="B7" authorId="0" shapeId="0" xr:uid="{00000000-0006-0000-0D00-000002000000}">
      <text>
        <r>
          <rPr>
            <sz val="9"/>
            <rFont val="宋体"/>
            <family val="3"/>
            <charset val="134"/>
          </rPr>
          <t xml:space="preserve">22/07/04 12:17 阿宁
</t>
        </r>
      </text>
    </comment>
    <comment ref="C7" authorId="0" shapeId="0" xr:uid="{00000000-0006-0000-0D00-000003000000}">
      <text>
        <r>
          <rPr>
            <sz val="9"/>
            <rFont val="宋体"/>
            <family val="3"/>
            <charset val="134"/>
          </rPr>
          <t xml:space="preserve">22/07/04 12:17 阿宁
</t>
        </r>
      </text>
    </comment>
    <comment ref="D7" authorId="0" shapeId="0" xr:uid="{00000000-0006-0000-0D00-000004000000}">
      <text>
        <r>
          <rPr>
            <sz val="9"/>
            <rFont val="宋体"/>
            <family val="3"/>
            <charset val="134"/>
          </rPr>
          <t xml:space="preserve">22/07/04 12:18 阿宁
22/07/04 12:18 阿宁
</t>
        </r>
      </text>
    </comment>
    <comment ref="E7" authorId="0" shapeId="0" xr:uid="{00000000-0006-0000-0D00-000005000000}">
      <text>
        <r>
          <rPr>
            <sz val="9"/>
            <rFont val="宋体"/>
            <family val="3"/>
            <charset val="134"/>
          </rPr>
          <t xml:space="preserve">22/09/02 18:05 阿宁
22/07/04 12:18 阿宁
</t>
        </r>
      </text>
    </comment>
    <comment ref="F7" authorId="0" shapeId="0" xr:uid="{00000000-0006-0000-0D00-000006000000}">
      <text>
        <r>
          <rPr>
            <sz val="9"/>
            <rFont val="宋体"/>
            <family val="3"/>
            <charset val="134"/>
          </rPr>
          <t xml:space="preserve">22/07/04 12:18 阿宁
</t>
        </r>
      </text>
    </comment>
    <comment ref="G7" authorId="0" shapeId="0" xr:uid="{00000000-0006-0000-0D00-000007000000}">
      <text>
        <r>
          <rPr>
            <sz val="9"/>
            <rFont val="宋体"/>
            <family val="3"/>
            <charset val="134"/>
          </rPr>
          <t xml:space="preserve">22/09/02 11:24 阿宁
22/07/04 12:15 阿宁
</t>
        </r>
      </text>
    </comment>
    <comment ref="H7" authorId="0" shapeId="0" xr:uid="{00000000-0006-0000-0D00-000008000000}">
      <text>
        <r>
          <rPr>
            <sz val="9"/>
            <rFont val="宋体"/>
            <family val="3"/>
            <charset val="134"/>
          </rPr>
          <t xml:space="preserve">22/09/02 18:06 阿宁
22/09/02 11:45 阿宁
</t>
        </r>
      </text>
    </comment>
    <comment ref="I7" authorId="0" shapeId="0" xr:uid="{00000000-0006-0000-0D00-000009000000}">
      <text>
        <r>
          <rPr>
            <sz val="9"/>
            <rFont val="宋体"/>
            <family val="3"/>
            <charset val="134"/>
          </rPr>
          <t xml:space="preserve">22/10/25 18:28 阿宁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阿宁</author>
  </authors>
  <commentList>
    <comment ref="A7" authorId="0" shapeId="0" xr:uid="{00000000-0006-0000-0E00-000001000000}">
      <text>
        <r>
          <rPr>
            <sz val="9"/>
            <rFont val="宋体"/>
            <family val="3"/>
            <charset val="134"/>
          </rPr>
          <t xml:space="preserve">22/07/04 12:04 阿宁
</t>
        </r>
      </text>
    </comment>
    <comment ref="B7" authorId="0" shapeId="0" xr:uid="{00000000-0006-0000-0E00-000002000000}">
      <text>
        <r>
          <rPr>
            <sz val="9"/>
            <rFont val="宋体"/>
            <family val="3"/>
            <charset val="134"/>
          </rPr>
          <t xml:space="preserve">22/07/04 12:19 阿宁
</t>
        </r>
      </text>
    </comment>
    <comment ref="C7" authorId="0" shapeId="0" xr:uid="{00000000-0006-0000-0E00-000003000000}">
      <text>
        <r>
          <rPr>
            <sz val="9"/>
            <rFont val="宋体"/>
            <family val="3"/>
            <charset val="134"/>
          </rPr>
          <t xml:space="preserve">22/09/02 11:48 阿宁
22/07/04 12:20 阿宁
</t>
        </r>
      </text>
    </comment>
    <comment ref="D7" authorId="0" shapeId="0" xr:uid="{00000000-0006-0000-0E00-000004000000}">
      <text>
        <r>
          <rPr>
            <sz val="9"/>
            <rFont val="宋体"/>
            <family val="3"/>
            <charset val="134"/>
          </rPr>
          <t xml:space="preserve">22/11/23 11:34 阿宁
</t>
        </r>
      </text>
    </comment>
    <comment ref="E7" authorId="0" shapeId="0" xr:uid="{00000000-0006-0000-0E00-000005000000}">
      <text>
        <r>
          <rPr>
            <sz val="9"/>
            <rFont val="宋体"/>
            <family val="3"/>
            <charset val="134"/>
          </rPr>
          <t xml:space="preserve">22/07/11 10:45 阿宁
</t>
        </r>
      </text>
    </comment>
    <comment ref="F7" authorId="0" shapeId="0" xr:uid="{00000000-0006-0000-0E00-000006000000}">
      <text>
        <r>
          <rPr>
            <sz val="9"/>
            <rFont val="宋体"/>
            <family val="3"/>
            <charset val="134"/>
          </rPr>
          <t xml:space="preserve">22/07/11 10:46 阿宁
</t>
        </r>
      </text>
    </comment>
    <comment ref="G7" authorId="0" shapeId="0" xr:uid="{00000000-0006-0000-0E00-000007000000}">
      <text>
        <r>
          <rPr>
            <sz val="9"/>
            <rFont val="宋体"/>
            <family val="3"/>
            <charset val="134"/>
          </rPr>
          <t xml:space="preserve">22/09/22 16:37 阿宁
22/09/21 14:09 阿宁
</t>
        </r>
      </text>
    </comment>
    <comment ref="H7" authorId="0" shapeId="0" xr:uid="{00000000-0006-0000-0E00-000008000000}">
      <text>
        <r>
          <rPr>
            <sz val="9"/>
            <rFont val="宋体"/>
            <family val="3"/>
            <charset val="134"/>
          </rPr>
          <t xml:space="preserve">22/09/22 16:38 阿宁
</t>
        </r>
      </text>
    </comment>
    <comment ref="I7" authorId="0" shapeId="0" xr:uid="{00000000-0006-0000-0E00-000009000000}">
      <text>
        <r>
          <rPr>
            <sz val="9"/>
            <rFont val="宋体"/>
            <family val="3"/>
            <charset val="134"/>
          </rPr>
          <t xml:space="preserve">22/07/04 12:20 阿宁
</t>
        </r>
      </text>
    </comment>
    <comment ref="J7" authorId="0" shapeId="0" xr:uid="{00000000-0006-0000-0E00-00000A000000}">
      <text>
        <r>
          <rPr>
            <sz val="9"/>
            <rFont val="宋体"/>
            <family val="3"/>
            <charset val="134"/>
          </rPr>
          <t xml:space="preserve">22/09/02 18:06 阿宁
22/07/04 12:20 阿宁
</t>
        </r>
      </text>
    </comment>
    <comment ref="K7" authorId="0" shapeId="0" xr:uid="{00000000-0006-0000-0E00-00000B000000}">
      <text>
        <r>
          <rPr>
            <sz val="9"/>
            <rFont val="宋体"/>
            <family val="3"/>
            <charset val="134"/>
          </rPr>
          <t xml:space="preserve">22/07/04 12:21 阿宁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阿宁</author>
    <author>Chann</author>
  </authors>
  <commentList>
    <comment ref="A7" authorId="0" shapeId="0" xr:uid="{00000000-0006-0000-0F00-000001000000}">
      <text>
        <r>
          <rPr>
            <sz val="9"/>
            <rFont val="宋体"/>
            <family val="3"/>
            <charset val="134"/>
          </rPr>
          <t xml:space="preserve">22/07/04 12:04 阿宁
</t>
        </r>
      </text>
    </comment>
    <comment ref="B7" authorId="0" shapeId="0" xr:uid="{00000000-0006-0000-0F00-000002000000}">
      <text>
        <r>
          <rPr>
            <sz val="9"/>
            <rFont val="宋体"/>
            <family val="3"/>
            <charset val="134"/>
          </rPr>
          <t xml:space="preserve">22/07/04 12:21 阿宁
</t>
        </r>
      </text>
    </comment>
    <comment ref="C7" authorId="0" shapeId="0" xr:uid="{00000000-0006-0000-0F00-000003000000}">
      <text>
        <r>
          <rPr>
            <sz val="9"/>
            <rFont val="宋体"/>
            <family val="3"/>
            <charset val="134"/>
          </rPr>
          <t xml:space="preserve">22/07/04 12:22 阿宁
</t>
        </r>
      </text>
    </comment>
    <comment ref="D7" authorId="0" shapeId="0" xr:uid="{00000000-0006-0000-0F00-000004000000}">
      <text>
        <r>
          <rPr>
            <sz val="9"/>
            <rFont val="宋体"/>
            <family val="3"/>
            <charset val="134"/>
          </rPr>
          <t xml:space="preserve">22/09/02 18:06 阿宁
22/07/04 12:22 阿宁
</t>
        </r>
      </text>
    </comment>
    <comment ref="E7" authorId="0" shapeId="0" xr:uid="{00000000-0006-0000-0F00-000005000000}">
      <text>
        <r>
          <rPr>
            <sz val="9"/>
            <rFont val="宋体"/>
            <family val="3"/>
            <charset val="134"/>
          </rPr>
          <t xml:space="preserve">22/11/23 16:27 阿宁
</t>
        </r>
      </text>
    </comment>
    <comment ref="G7" authorId="0" shapeId="0" xr:uid="{00000000-0006-0000-0F00-000006000000}">
      <text>
        <r>
          <rPr>
            <sz val="9"/>
            <rFont val="宋体"/>
            <family val="3"/>
            <charset val="134"/>
          </rPr>
          <t xml:space="preserve">22/11/23 11:35 阿宁
</t>
        </r>
      </text>
    </comment>
    <comment ref="H7" authorId="0" shapeId="0" xr:uid="{00000000-0006-0000-0F00-000007000000}">
      <text>
        <r>
          <rPr>
            <sz val="9"/>
            <rFont val="宋体"/>
            <family val="3"/>
            <charset val="134"/>
          </rPr>
          <t xml:space="preserve">22/09/02 11:49 阿宁
22/07/04 12:22 阿宁
</t>
        </r>
      </text>
    </comment>
    <comment ref="I7" authorId="1" shapeId="0" xr:uid="{00000000-0006-0000-0F00-000008000000}">
      <text>
        <r>
          <rPr>
            <sz val="9"/>
            <color indexed="81"/>
            <rFont val="宋体"/>
            <family val="3"/>
            <charset val="134"/>
          </rPr>
          <t xml:space="preserve">26/02/10 18:18 Chann
</t>
        </r>
      </text>
    </comment>
    <comment ref="J7" authorId="0" shapeId="0" xr:uid="{00000000-0006-0000-0F00-000009000000}">
      <text>
        <r>
          <rPr>
            <sz val="9"/>
            <rFont val="宋体"/>
            <family val="3"/>
            <charset val="134"/>
          </rPr>
          <t xml:space="preserve">22/07/04 12:22 阿宁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v_wuchang</author>
    <author>阿宁</author>
  </authors>
  <commentList>
    <comment ref="D6" authorId="0" shapeId="0" xr:uid="{00000000-0006-0000-1000-000001000000}">
      <text>
        <r>
          <rPr>
            <b/>
            <sz val="9"/>
            <color indexed="81"/>
            <rFont val="宋体"/>
            <family val="3"/>
            <charset val="134"/>
          </rPr>
          <t>v_wuchang:</t>
        </r>
        <r>
          <rPr>
            <sz val="9"/>
            <color indexed="81"/>
            <rFont val="宋体"/>
            <family val="3"/>
            <charset val="134"/>
          </rPr>
          <t xml:space="preserve">
填0不显示</t>
        </r>
      </text>
    </comment>
    <comment ref="A7" authorId="1" shapeId="0" xr:uid="{00000000-0006-0000-1000-000002000000}">
      <text>
        <r>
          <rPr>
            <sz val="9"/>
            <rFont val="宋体"/>
            <family val="3"/>
            <charset val="134"/>
          </rPr>
          <t xml:space="preserve">22/11/23 16:24 阿宁
</t>
        </r>
      </text>
    </comment>
    <comment ref="B7" authorId="1" shapeId="0" xr:uid="{00000000-0006-0000-1000-000003000000}">
      <text>
        <r>
          <rPr>
            <sz val="9"/>
            <rFont val="宋体"/>
            <family val="3"/>
            <charset val="134"/>
          </rPr>
          <t xml:space="preserve">22/07/04 12:22 阿宁
</t>
        </r>
      </text>
    </comment>
    <comment ref="C7" authorId="1" shapeId="0" xr:uid="{00000000-0006-0000-1000-000004000000}">
      <text>
        <r>
          <rPr>
            <sz val="9"/>
            <rFont val="宋体"/>
            <family val="3"/>
            <charset val="134"/>
          </rPr>
          <t xml:space="preserve">22/09/02 18:06 阿宁
22/07/04 12:22 阿宁
</t>
        </r>
      </text>
    </comment>
    <comment ref="E7" authorId="1" shapeId="0" xr:uid="{00000000-0006-0000-1000-000005000000}">
      <text>
        <r>
          <rPr>
            <sz val="9"/>
            <rFont val="宋体"/>
            <family val="3"/>
            <charset val="134"/>
          </rPr>
          <t xml:space="preserve">22/11/23 16:25 阿宁
</t>
        </r>
      </text>
    </comment>
  </commentList>
</comments>
</file>

<file path=xl/sharedStrings.xml><?xml version="1.0" encoding="utf-8"?>
<sst xmlns="http://schemas.openxmlformats.org/spreadsheetml/2006/main" count="4868" uniqueCount="2617">
  <si>
    <t>sheetName</t>
  </si>
  <si>
    <t>tbxName</t>
  </si>
  <si>
    <t>isExport</t>
  </si>
  <si>
    <t>creator</t>
  </si>
  <si>
    <t>desc</t>
  </si>
  <si>
    <t>列1</t>
  </si>
  <si>
    <t>Base</t>
  </si>
  <si>
    <t>AtlasConfig_Base</t>
  </si>
  <si>
    <t>阿宁</t>
  </si>
  <si>
    <t>基础功能模块配置</t>
  </si>
  <si>
    <t>Character</t>
  </si>
  <si>
    <t>AtlasConfig_Character</t>
  </si>
  <si>
    <t>英雄</t>
  </si>
  <si>
    <t>Inspiration</t>
  </si>
  <si>
    <t>AtlasConfig_Inspiration</t>
  </si>
  <si>
    <t>灵感</t>
  </si>
  <si>
    <t>Monster</t>
  </si>
  <si>
    <t>AtlasConfig_Monster</t>
  </si>
  <si>
    <t>怪物</t>
  </si>
  <si>
    <t>Voice</t>
  </si>
  <si>
    <t>AtlasConfig_Voice</t>
  </si>
  <si>
    <t>怪物语音</t>
  </si>
  <si>
    <t>PicSuit</t>
  </si>
  <si>
    <t>AtlasConfig_PicSuit</t>
  </si>
  <si>
    <t>绘本套装</t>
  </si>
  <si>
    <t>Picture</t>
  </si>
  <si>
    <t>AtlasConfig_Picture</t>
  </si>
  <si>
    <t>绘本</t>
  </si>
  <si>
    <t>MainItem</t>
  </si>
  <si>
    <t>AtlasConfig_MainItem</t>
  </si>
  <si>
    <t>重要道具</t>
  </si>
  <si>
    <t>Animation</t>
  </si>
  <si>
    <t>AtlasConfig_Animation</t>
  </si>
  <si>
    <t>动画/插图</t>
  </si>
  <si>
    <t>AnimationType</t>
  </si>
  <si>
    <t>配置剧情/插图的类别（客户端展示）</t>
  </si>
  <si>
    <t>流水ID</t>
  </si>
  <si>
    <t>Key_名称</t>
  </si>
  <si>
    <t>功能模块名称</t>
  </si>
  <si>
    <t>模块功能名（策划看）</t>
  </si>
  <si>
    <t>功能模块</t>
  </si>
  <si>
    <t>Id</t>
  </si>
  <si>
    <t>Key_Name</t>
  </si>
  <si>
    <t>Name</t>
  </si>
  <si>
    <t>beizhu</t>
  </si>
  <si>
    <t>Module</t>
  </si>
  <si>
    <t>uint32</t>
  </si>
  <si>
    <t>string</t>
  </si>
  <si>
    <t>All</t>
  </si>
  <si>
    <t>Client</t>
  </si>
  <si>
    <t>None</t>
  </si>
  <si>
    <t xml:space="preserve"> </t>
  </si>
  <si>
    <t>请注意合理分配ID段</t>
  </si>
  <si>
    <t>冬卿</t>
  </si>
  <si>
    <t>剧作重演</t>
  </si>
  <si>
    <t>剧作灵感</t>
  </si>
  <si>
    <t>童书绘卷</t>
  </si>
  <si>
    <t>PictureBook</t>
  </si>
  <si>
    <t>旧梦重温</t>
  </si>
  <si>
    <t>动画cg/插图</t>
  </si>
  <si>
    <t>StoryLine</t>
  </si>
  <si>
    <t>道具收藏</t>
  </si>
  <si>
    <t>世界观道具</t>
  </si>
  <si>
    <t>Item</t>
  </si>
  <si>
    <t>势力名称</t>
  </si>
  <si>
    <t>Key_描述</t>
  </si>
  <si>
    <t>势力文本</t>
  </si>
  <si>
    <t>ForceName</t>
  </si>
  <si>
    <t>Key_Describe</t>
  </si>
  <si>
    <t>Describe</t>
  </si>
  <si>
    <t>Unlock</t>
  </si>
  <si>
    <t>围绕在代理团长周围的降格者组织，暗中对抗着教团及圣子。</t>
  </si>
  <si>
    <t>绮想工造</t>
  </si>
  <si>
    <t>该势力背景为数千年前身怀绝技的12名工匠组成的工匠协会，近年来再无人能复制传说中的神技。但有一技之长的人还是以加入其中为荣，所以在剧团中心灵手巧的专业生产者们，选择了这个名号作为自己组织的精神指导。</t>
  </si>
  <si>
    <t>不羁之心</t>
  </si>
  <si>
    <t>不羁之心是个传说，它其实从来都没有过建制。但那些厌恶教条的少男少女们将其作为自己的标志，直到“降临”开始后，这些自称“不羁之心”的人们以此信条合心一处。在剧团内，向往不羁之心理念的人团结在一起，建立了这个组织。</t>
  </si>
  <si>
    <t>万华魅影</t>
  </si>
  <si>
    <t>该组织由在剧团内担任演出职务的人员构成，他们大多拥有演艺技能，是剧团的灵魂人物，不论是华丽的戏剧还是灵动的舞姿，他们信手拈来，为歌斐尔剧团声名远扬的未来打下坚实的基础。</t>
  </si>
  <si>
    <t>幻乐华音</t>
  </si>
  <si>
    <t>该组织中是来自各地的音乐演奏家，他们创造的声音回荡在歌斐尔之舟的各处，然而这些声音不止能带来美的享受，也能带来毁灭的风暴之声。</t>
  </si>
  <si>
    <t>无影幽魂</t>
  </si>
  <si>
    <t>在遭受极端的迫害后，某些降格者们联合起来组成秘密结社来对抗教团，进行复仇。这些降格者自称“游魂”，该组织行事诡秘，等级森严，组内口风极严，手段狠辣，策划过几起暗杀地区主教的活动，甚至在暗中谋划暗杀教皇。</t>
  </si>
  <si>
    <t>十三门徒</t>
  </si>
  <si>
    <t>这是由叛离教团的教徒组成的组织，大多数人是因为不满教团的行为，而有些人加入的时候或许就目的不纯。现在他们想要在歌斐尔剧团寻找自己的机会，切记——13是背叛者的象征。</t>
  </si>
  <si>
    <t>苍原行者</t>
  </si>
  <si>
    <t>羔羊茶会</t>
  </si>
  <si>
    <t>胧</t>
  </si>
  <si>
    <t>在被依露希尔选中为世界的守护者后，龙族遵守着古老的戒律，绝不干涉人间事务。但古老的戒律只能平衡天灾，而人祸却要靠自己来解决，一部分龙族已经认识到了这一点。在某位龙族被做成圣子后，【胧】开始着手对抗【降临】与其身后的撒尔西姆。</t>
  </si>
  <si>
    <t>艾瓦格联盟</t>
  </si>
  <si>
    <t>一些不信任弥赛亚教团和对“伊甸乐园”抱有怀疑的人从帝国骑士团分离出来，团结了反对弥赛亚教团的各路人马后，组成了对抗教团的武装力量。</t>
  </si>
  <si>
    <t>灿灵协约</t>
  </si>
  <si>
    <t>骑士团下属的科研小组，背后似乎与某个神秘组织保持联系，引导他们进行着灿晶武器的研究。现在该小队作为骑士团对歌斐尔剧团的支援力量与沟通桥梁，整组进驻飞空艇上。基本所有剧团成员的灿晶武器都是他们进行提供和维护改造的，同时他们还负责给剧团提供来自骑士团的物资和金钱支援。</t>
  </si>
  <si>
    <t>Key_description</t>
  </si>
  <si>
    <t>description</t>
  </si>
  <si>
    <t>封面图片</t>
  </si>
  <si>
    <t>SuitId</t>
  </si>
  <si>
    <t>怪物类别</t>
  </si>
  <si>
    <t>怪物ID</t>
  </si>
  <si>
    <t>怪物描述</t>
  </si>
  <si>
    <t>解锁条件</t>
  </si>
  <si>
    <t>列表图片</t>
  </si>
  <si>
    <t>是否圣子</t>
  </si>
  <si>
    <t>是否有语音</t>
  </si>
  <si>
    <t>排序</t>
  </si>
  <si>
    <t>Type</t>
  </si>
  <si>
    <t>MonsterId</t>
  </si>
  <si>
    <t>ListPic</t>
  </si>
  <si>
    <t>IsGodson</t>
  </si>
  <si>
    <t>IsHaveVoice</t>
  </si>
  <si>
    <t>Order</t>
  </si>
  <si>
    <t>bool</t>
  </si>
  <si>
    <t>1：圣子（废弃）
2：boos
3：精英
4：小怪
5：乐园-精英（暂无配置）</t>
  </si>
  <si>
    <t>关联NPC表格</t>
  </si>
  <si>
    <t>关联condition表流水id</t>
  </si>
  <si>
    <t>数字越小越靠前</t>
  </si>
  <si>
    <t>出现于奥莉薇尔回忆的噬梦者形态。蜡烛和灯罩的造型在奥斯法尔地区都相当常见，而那身烛花红制服，则是庄园护卫们的统一着装。</t>
  </si>
  <si>
    <t>UI/Sprite/Headportrait/monster_b_001</t>
  </si>
  <si>
    <t>出现于奥莉薇尔回忆的噬梦者形态。每当她望向父亲所在之处时，那条通向主堡的道路上，幽幽烛火总是在面色冷冰地警告她：“你已经不属于这个家了。”有时候她宁愿在外流浪，也不愿在庄园的角落独过冷夜。</t>
  </si>
  <si>
    <t>出现于奥莉薇尔回忆的噬梦者形态。奥斯法尔城中最底层的治安人员，尽快处理完辖区内的所有麻烦是他们唯一的目标，懒得思考的脑袋换成灯罩也没什么区别。</t>
  </si>
  <si>
    <t>UI/Sprite/Headportrait/monster_b_016</t>
  </si>
  <si>
    <t>出现于奥莉薇尔回忆的噬梦者形态。庄园中的普通女佣，身着缝补多代的女佣裙，为主人们日夜操劳，即便是备受冷落的奥莉薇尔也可以随意使唤。这位不幸的灵魂在被吸入乐园时大概在烤薄饼吧。</t>
  </si>
  <si>
    <t>UI/Sprite/Headportrait/monster_b_002</t>
  </si>
  <si>
    <t>出现于奥莉薇尔回忆的噬梦者形态。庄园中的普通女佣，身着缝补多代的女佣裙，为主人们日夜操劳，即便是备受冷落的奥莉薇尔也可以随意使唤。这位不幸的灵魂在被吸入乐园时大概在打雪仗吧。</t>
  </si>
  <si>
    <t>出现于奥莉薇尔回忆的噬梦者形态。庄园中的普通女佣，身着缝补多代的女佣裙，为主人们日夜操劳，即便是备受冷落的奥莉薇尔也可以随意使唤。这位不幸的灵魂在被吸入乐园时大概在放风筝吧。</t>
  </si>
  <si>
    <t>出现于奥莉薇尔回忆的噬梦者形态。这些平民女孩都曾受过专业的医学训练，对她们来说，前往大贵族的庄园内成为私人护士是这个时代的最佳选择。只不过除了治病救人，这些身着女佣裙的护士还需要做一些额外的工作。</t>
  </si>
  <si>
    <t>UI/Sprite/Headportrait/monster_b_004</t>
  </si>
  <si>
    <t>出现于奥莉薇尔回忆的噬梦者形态。父亲雇佣的缝纫女工，但不知为何，继母的形象总是会一遍一遍地覆盖其上，或许是因为她亲眼见过继母为露可灯下裁衣的慈祥面容吧——否则，这噬梦者怎会有如剪刀般捅刺心窝呢？</t>
  </si>
  <si>
    <t>UI/Sprite/Headportrait/monster_b_003</t>
  </si>
  <si>
    <t>出现于奥莉薇尔回忆的噬梦者形态。佣人们的管理者，甚至可以算得上是父亲的朋友。他对奥莉薇尔总是毕恭毕敬，但她知道，这位管家仅仅是在做表面功夫罢了。</t>
  </si>
  <si>
    <t>UI/Sprite/Headportrait/monster_b_006</t>
  </si>
  <si>
    <t>出现于奥莉薇尔回忆的噬梦者形态。不同于其他普通的佣人，庄园管家有权力阻拦奥莉薇尔去见她的父亲。她怨恨的是，连一个非亲非故的管家都能与家人们在同一个屋檐下生活，而自己却只能远远观望。</t>
  </si>
  <si>
    <t>出现于贪婪圣子回忆的噬梦者形态。为洛兰娜新兴娱乐场所吸引客流的女侍，两只引人注目的兔耳就是她们的标志。无论是提供清爽的环境，还是即时的指引，她们都很在行。</t>
  </si>
  <si>
    <t>UI/Sprite/Headportrait/monster_b_015</t>
  </si>
  <si>
    <t>出现于贪婪圣子回忆的噬梦者形态。为洛兰娜新兴娱乐场所吸引客流的女侍，两只引人注目的兔耳就是她们的标志。无论是提供热情的服务，还是贴心的照顾，她们都很在行。</t>
  </si>
  <si>
    <t>UI/Sprite/Headportrait/monster_b_014</t>
  </si>
  <si>
    <t>出现于贪婪圣子回忆的噬梦者形态。为保护洛兰娜新兴娱乐场正常运作而雇佣的打手，在乐园中与娱乐场最常见的卡牌产生了融合，正中的红心代表了他们对洛兰娜城主的绝对忠诚。</t>
  </si>
  <si>
    <t>UI/Sprite/Headportrait/monster_b_013</t>
  </si>
  <si>
    <t>出现于贪婪圣子回忆的噬梦者形态。为保护洛兰娜新兴娱乐场正常运作而雇佣的打手，在乐园中与娱乐场最常见的卡牌产生了融合，正中的黑桃代表了他们对扰乱秩序者的绝不纵容。</t>
  </si>
  <si>
    <t>UI/Sprite/Headportrait/monster_b_012</t>
  </si>
  <si>
    <t>UI/Sprite/Headportrait/boss_b_013</t>
  </si>
  <si>
    <t>被乐园完全异化的噬梦者。她们曾是怀揣着不同信仰的信徒，但无论从前是从事预言、诈骗还是传教，现在都成为了同一阵线的战友。</t>
  </si>
  <si>
    <t>UI/Sprite/Headportrait/monster_b_011</t>
  </si>
  <si>
    <t>被乐园完全异化的噬梦者。她们曾是怀揣着不同信仰的信徒，然而从今往后，为乐园的主人加倍努力地工作才是她们的福报。</t>
  </si>
  <si>
    <t>被乐园完全异化的噬梦者。已经失去了人形，完全堕落为乐园的一部分，如同一段无意识的程序。所谓的宽恕，大概是“帮你体面”的意思。</t>
  </si>
  <si>
    <t>UI/Sprite/Headportrait/monster_b_008</t>
  </si>
  <si>
    <t>被乐园完全异化的噬梦者。已经失去了人形，完全堕落为乐园的一部分，如同一段无意识的程序。他们或许在生前有想要变成动物的癖好，所以现在大多使用四脚走路。</t>
  </si>
  <si>
    <t>UI/Sprite/Headportrait/monster_b_009</t>
  </si>
  <si>
    <t>被乐园完全异化的噬梦者。每个人都或多或少想要保护些什么，财物、家人、爱情、理想……可惜这些噬梦者已经无法知晓他们的守护是否成功了。</t>
  </si>
  <si>
    <t>UI/Sprite/Headportrait/monster_b_007</t>
  </si>
  <si>
    <t>被乐园完全异化的噬梦者。他们生前或许是中二病患者，因为在战斗的时候，他们的吼叫听起来像“全军突击”！</t>
  </si>
  <si>
    <t>UI/Sprite/Headportrait/monster_b_010</t>
  </si>
  <si>
    <t>被乐园完全异化的噬梦者。相较于普通的噬梦突击者，它的所有性能都是前者的两倍——这是因为乐园在异化灵魂时用全自动生成程序，绝不会出差错。</t>
  </si>
  <si>
    <t>堕入乐园的神授牧师，已经不再可能获得晶芒结社的津贴了，但他们仍然决定奉献自己。</t>
  </si>
  <si>
    <t>UI/Sprite/Headportrait/monster_b_025</t>
  </si>
  <si>
    <t>堕入乐园的神授法师，已经陷入了癫狂，现在只想将所有敌人都变成法术实验的靶子。</t>
  </si>
  <si>
    <t>UI/Sprite/Headportrait/monster_b_026</t>
  </si>
  <si>
    <t>堕入乐园的神授枪兵，已经不用在意运气的问题了，现在要做的就是一口气把敌人穿成串。</t>
  </si>
  <si>
    <t>UI/Sprite/Headportrait/monster_b_023</t>
  </si>
  <si>
    <t>堕入乐园的神授阵卫，已经失去了神志，但身体还在顺从训练，不断举盾推进。</t>
  </si>
  <si>
    <t>UI/Sprite/Headportrait/monster_b_022</t>
  </si>
  <si>
    <t>堕入乐园的神授弓手，已经失去了视力，他们最享受的是利箭离弦时带来的快感。</t>
  </si>
  <si>
    <t>UI/Sprite/Headportrait/monster_b_024</t>
  </si>
  <si>
    <t>出现于暴怒圣子回忆的噬梦者形态。熔炼者曾经想要给一成不变的生活加点料，结果给工厂造成了重大损失——最终他没了工资，还要全年无休。现在，郁闷的他想把铁水倒在入侵者的头上。</t>
  </si>
  <si>
    <t>UI/Sprite/Headportrait/monster_b_027</t>
  </si>
  <si>
    <t>出现于暴怒圣子回忆的噬梦者形态。她在被囚禁之初，那些结社的执行者们用灼热的剪刀一片片剪去她的鳞片，而她的痛苦与愤怒，也化为了如今的炉中恶灵。</t>
  </si>
  <si>
    <t>UI/Sprite/Headportrait/monster_b_018</t>
  </si>
  <si>
    <t>出现于暴怒圣子回忆的噬梦者形态。曾经渴望自由的健硕冶炼厂工人，不想被束缚在灼人的工厂之中，但他们并没有勇气改变生活，自身的懦弱让身上的枷锁更加沉重——即使在乐园里，他们也要保护自己生活了多年的工厂。</t>
  </si>
  <si>
    <t>UI/Sprite/Headportrait/monster_b_028</t>
  </si>
  <si>
    <t>出现于奥莉薇尔回忆的噬梦者形态。父亲曾经雇佣过的一位园丁，同她一样生活在庄园的角落。只是那人会打理庄园的植物，却不会打理自己——当他穿着发霉的衣服向奥莉薇尔示好时，她也只会产生强烈的厌恶。</t>
  </si>
  <si>
    <t>UI/Sprite/Headportrait/monster_b_005</t>
  </si>
  <si>
    <t>出现于贪婪圣子回忆的噬梦者形态。一位逃离洛兰娜的东方商人曾作诗云：酒不醉人人自醉,花不迷人人自迷，初来不知红尘意，如今已为局中人。</t>
  </si>
  <si>
    <t>UI/Sprite/Headportrait/boss_b_004</t>
  </si>
  <si>
    <t>神授军团中的精英，沐浴过原初圣水的剑盾骑士。他们为了展现自己的力量，抛弃了手中的剑——毕竟光用拳头就足够碾碎阻挡结社的敌人们了。</t>
  </si>
  <si>
    <t>UI/Sprite/Headportrait/monster_b_021</t>
  </si>
  <si>
    <t>神授军团中的精英，沐浴过原初圣水的结社法师。现在他们再也不用带着法杖上战场了，节省下的负重可以让他们多带几瓶原能药水，或者多带几包零食。</t>
  </si>
  <si>
    <t>UI/Sprite/Headportrait/monster_b_020</t>
  </si>
  <si>
    <t>出现于暴怒圣子回忆的噬梦者形态。费劲千辛万苦从底层熬上来的熔炼者，可谓是万里挑一。但要论工作能力他并不比普通熔炼者强多少，只是他体型巨大，胃口也巨大，其他的同事们都不敢和他争抢这个位置。</t>
  </si>
  <si>
    <t>UI/Sprite/Headportrait/monster_b_017</t>
  </si>
  <si>
    <t>被奥莉薇尔的嫉妒之情扰乱心智的露可，错误地认为姐姐的不幸都是自己一手造成的。她自我封闭在乐园笼中，作为对自己的惩罚，愿意献出自己的一切，成为姐姐的守护者。虽说这是露可被施加影响后的结果，但她的内心深处或许也一直存在如此想法。</t>
  </si>
  <si>
    <t>UI/Sprite/Headportrait/boss_b_003</t>
  </si>
  <si>
    <t>洛兰娜的城主夫人，不幸被至高枢机选定为“圣子”，但她本身只是一位想要给女儿治病而将灵魂都出卖给结社的不幸母亲。但为了她那单纯的愿望，整个洛兰娜城都成为了贪婪的巢穴。况且对结社来说，如此绝望的母亲，是最听话的傀儡了。</t>
  </si>
  <si>
    <t>UI/Sprite/Headportrait/boss_b_017</t>
  </si>
  <si>
    <t>被吸入乐园的不幸灵魂，沉湎于过去的回忆，已然出现了记忆混乱。曾经是一位傲慢的贵族公子，如今只是一位看大门的——奥莉薇尔甚至不会给他工资。</t>
  </si>
  <si>
    <t>UI/Sprite/Headportrait/boss_b_002</t>
  </si>
  <si>
    <t>被吸入乐园的不幸灵魂。安托万花费数年时间将洛兰娜改建为新娱乐之都，而这一切都是为了从结社那里换取拯救女儿爱丽丝的方法。不过结社递上的救命稻草却是一场彻头彻尾的阴谋——他最终堕入了一场贪妄之梦中。</t>
  </si>
  <si>
    <t>出现在暴怒之乐园中的噬梦者，但似乎并非人类的灵魂，而是被人为放入其中的机械。由极耐高温的金属材料制成，使用了“第零热力”的改良轴承，拥有强大的灵活性和破坏力。运行核心中搭载了一份名为“霍恩海姆计划”的文件，尚不知其内容。</t>
  </si>
  <si>
    <t>UI/Sprite/Headportrait/boss_b_018</t>
  </si>
  <si>
    <t>被吸入乐园的不幸灵魂。曾经是一位吃人不吐骨头的大资本家，发明了许多让人感慨万千的话术。他甚至面对结社都讨价还价，以至于降临的时候还在庆幸：“嘿嘿，我还没给结社上缴过一枚克雷币呢。”</t>
  </si>
  <si>
    <t>UI/Sprite/Headportrait/boss_b_019</t>
  </si>
  <si>
    <t>奥莉薇尔剥离的灵魂碎片，身上有着强烈的嫉恨气息。\n嫉妒的出现并非是在一瞬间。当瓶中的鲜花不再沾有露水，佣人的议论传入耳中，合照的中心被另一人取代，黑色的种子在她心中扎根。面对一切，金色的天使露出微笑。</t>
  </si>
  <si>
    <t>UI/Sprite/Headportrait/boss_b_024</t>
  </si>
  <si>
    <t>奥莉薇尔剥离的灵魂碎片，身上有着强烈的悲恸气息。\n正是因为知晓美好为何物，才更厌恶属于自己的丑恶。“那么只要让美好消失就好了”，渴求着从痛苦中逃离的她，就这样拿起了剪刀。</t>
  </si>
  <si>
    <t>UI/Sprite/Headportrait/boss_b_023</t>
  </si>
  <si>
    <t>奥莉薇尔剥离的灵魂碎片，身上有着强烈的绝望气息。\n她是因嫉妒之罪而受到审判的囚犯，那扇门则是对她的惩罚。在漫长的行刑中，她意识到结束一切的方法——既然天使并无过错，那么，只要邪恶消失就好了。</t>
  </si>
  <si>
    <t>UI/Sprite/Headportrait/boss_b_022</t>
  </si>
  <si>
    <t>露可同父异母的姐姐，嫉妒之圣子。\n在卡琪娜庄园的小型乐园中初次遇到的女性，能够驾驭荆棘与空间的力量。厌恶露可和围绕在她身边的我们，在交战胜利之后选择将她带走，从此不见踪影。尚不清楚她的目的和动机。</t>
  </si>
  <si>
    <t>UI/Sprite/Headportrait/boss_b_001</t>
  </si>
  <si>
    <t>神授军团中的精英，沐浴过原初圣水的结社牧师。作为信仰更为坚定的成员，他们拥有利用风元素制造领域的能力。这也是原初圣子给他们的特殊优待。</t>
  </si>
  <si>
    <t>UI/Sprite/Headportrait/monster_b_050</t>
  </si>
  <si>
    <t>神授军团中的精英，沐浴过原初圣水的剑盾骑士。他们抛弃了手中的剑，从群星之座的法师那里借来了风暴符文。但这些风暴所蕴含的，依旧是原初圣子的力量。</t>
  </si>
  <si>
    <t>UI/Sprite/Headportrait/monster_b_042</t>
  </si>
  <si>
    <t>神授军团中的精英，沐浴过原初圣水的结社法师。之后他们可以随意使用这种赐福，将原初圣子的力量转化为自己擅长的风暴魔法。</t>
  </si>
  <si>
    <t>UI/Sprite/Headportrait/monster_b_053</t>
  </si>
  <si>
    <t>神授军团中的精英，沐浴过原初圣水的剑盾骑士。他们抛弃了手中的剑，开始学着末世巨人挥舞火焰。但这些火焰所蕴含的，依旧是原初圣子的力量。</t>
  </si>
  <si>
    <t>UI/Sprite/Headportrait/monster_b_043</t>
  </si>
  <si>
    <t>神授军团中的精英，沐浴过原初圣水的剑盾骑士。他们抛弃了手中的剑，转而拾起了雪精灵在人类世界遗留的战技。但这些冰雪所蕴含的，依旧是原初圣子的力量。</t>
  </si>
  <si>
    <t>UI/Sprite/Headportrait/monster_b_044</t>
  </si>
  <si>
    <t>神授军团中的精英，沐浴过原初圣水的长枪骑士。黯晶长枪中注入了狂暴的火元素，他们的战技也因此变得更加难以招架。</t>
  </si>
  <si>
    <t>UI/Sprite/Headportrait/monster_b_059</t>
  </si>
  <si>
    <t>神授军团中的精英，沐浴过原初圣水的长枪骑士。黯晶长枪中注入了冷酷的冰元素，他们的战技也因此变得更加难以招架。</t>
  </si>
  <si>
    <t>UI/Sprite/Headportrait/monster_b_060</t>
  </si>
  <si>
    <t>神授军团中的精英，沐浴过原初圣水的长枪骑士。黯晶长枪中注入了疾行的风元素，他们的战技也因此变得更加难以招架。</t>
  </si>
  <si>
    <t>UI/Sprite/Headportrait/monster_b_058</t>
  </si>
  <si>
    <t>被囚禁在克利西瓦研究所的少女，亦是“暴怒之乐园”的核心。\n拉丝蒂娜是 “霍恩海姆计划”中最重要的实验体。为了让她成为圣子，结社将黯晶注入她的身体，用痛苦装填她的胸膛，但她的愿望既非复仇也非解脱，只是再一次回故乡而已。</t>
  </si>
  <si>
    <t>UI/Sprite/Headportrait/boss_b_021</t>
  </si>
  <si>
    <t>神授军团中的精英，沐浴过原初圣水的弓弩骑士。他们的箭矢受到原初圣子的赐福，箭簇变为了纯粹的光芒。</t>
  </si>
  <si>
    <t>UI/Sprite/Headportrait/monster_b_065</t>
  </si>
  <si>
    <t>神授军团中的精英，沐浴过原初圣水的剑盾骑士。他们抛弃了手中的剑，直接从原初圣子的赐福中获得力量，用拳头昭示晶芒结社的统御地位。</t>
  </si>
  <si>
    <t>UI/Sprite/Headportrait/monster_b_041</t>
  </si>
  <si>
    <t>神授军团中的精英，沐浴过原初圣水的剑盾骑士。他们抛弃了手中的剑，直接从原初圣子的黑暗赐福中获得力量，用拳头昭示晶芒结社的统御地位。</t>
  </si>
  <si>
    <t>UI/Sprite/Headportrait/monster_b_045</t>
  </si>
  <si>
    <t>神授军团中的精英，沐浴过原初圣水的长枪骑士。黯晶长枪中也注入了原初圣子的赐福，他们的战技也因此变得更加难以招架。</t>
  </si>
  <si>
    <t>UI/Sprite/Headportrait/monster_b_057</t>
  </si>
  <si>
    <t>神授军团中的精英，沐浴过原初圣水的长枪骑士。黯晶长枪中也注入了原初圣子的黑暗赐福，他们的战技也因此变得更加难以招架。</t>
  </si>
  <si>
    <t>UI/Sprite/Headportrait/monster_b_056</t>
  </si>
  <si>
    <t>神授军团中的精英，沐浴过原初圣水的结社牧师。作为信仰最为坚定的成员，他们直接受到了原初圣子的赐福，能够在自己身边创造领域光耀世人。</t>
  </si>
  <si>
    <t>UI/Sprite/Headportrait/monster_b_047</t>
  </si>
  <si>
    <t>神授军团中的精英，沐浴过原初圣水的结社牧师。作为信仰最为坚定的成员，他们直接受到了原初圣子的黑暗赐福，能够在自己身边创造领域，让敌人陷入绝境。</t>
  </si>
  <si>
    <t>UI/Sprite/Headportrait/monster_b_046</t>
  </si>
  <si>
    <t>神授军团中的精英，沐浴过原初圣水的结社法师。原初圣子给予了他们在世间肆意使用这份赐福的权力。</t>
  </si>
  <si>
    <t>UI/Sprite/Headportrait/monster_b_052</t>
  </si>
  <si>
    <t>神授军团中的精英，沐浴过原初圣水的结社法师。原初圣子给予了他们在世间肆意使用这份黑暗赐福的权力。</t>
  </si>
  <si>
    <t>UI/Sprite/Headportrait/monster_b_051</t>
  </si>
  <si>
    <t>神授军团中的士兵，大多曾是各个教区中的神父。或许是为了更多的津贴，才放弃了教堂中的清闲工作吧。</t>
  </si>
  <si>
    <t>UI/Sprite/Headportrait/monster_b_074</t>
  </si>
  <si>
    <t>神授军团中的士兵，多是来自群星之座的学徒。他们与结社签订了三方协议，为了不违约，这些法师不得不选择在神授军团服役。</t>
  </si>
  <si>
    <t>UI/Sprite/Headportrait/monster_b_075</t>
  </si>
  <si>
    <t>神授军团中的士兵，由帝国各地的军队征召而来，各个都是百里挑一的勇士，善使一柄长枪，就是运气不怎么好。</t>
  </si>
  <si>
    <t>UI/Sprite/Headportrait/monster_b_071</t>
  </si>
  <si>
    <t>神授军团中的士兵，大多出身曾经的帝国骑士团，他们见证了骑士团被神授军团取代的过程，但并未产生离开的想法，或许在新的领导手下能升职加薪也说不定。</t>
  </si>
  <si>
    <t>UI/Sprite/Headportrait/monster_b_072</t>
  </si>
  <si>
    <t>神授军团中的士兵，大多出身曾经的帝国骑士团，是皇都城防的中坚力量，传说最强者可以八百里外狙杀敌人，只可惜现役人员无人可以做到。</t>
  </si>
  <si>
    <t>UI/Sprite/Headportrait/monster_b_073</t>
  </si>
  <si>
    <t>神授军团中的精英，沐浴过原初圣水的弓弩骑士。他们的箭矢完全由光之魔法构成，完全不需要担心弹药问题。但这也有个麻烦：不懂魔法的他们无法在战场上调整和修理他们的弓。</t>
  </si>
  <si>
    <t>UI/Sprite/Headportrait/monster_b_062</t>
  </si>
  <si>
    <t>神授军团中的精英，沐浴过原初圣水的弓弩骑士。他们的箭矢完全由火焰魔法构成，完全不需要担心弹药问题。但这也有个麻烦：不懂魔法的他们无法在战场上调整和修理他们的弓。</t>
  </si>
  <si>
    <t>UI/Sprite/Headportrait/monster_b_064</t>
  </si>
  <si>
    <t>神授军团中的精英，沐浴过原初圣水的弓弩骑士。他们的箭矢完全由寒冰魔法构成，完全不需要担心弹药问题。但这也有个麻烦：不懂魔法的他们无法在战场上调整和修理他们的弓。</t>
  </si>
  <si>
    <t>UI/Sprite/Headportrait/monster_b_067</t>
  </si>
  <si>
    <t>神授军团中的精英，沐浴过原初圣水的弓弩骑士。他们的箭矢完全由风暴魔法构成，完全不需要担心弹药问题。但这也有个麻烦：不懂魔法的他们无法在战场上调整和修理他们的弓。</t>
  </si>
  <si>
    <t>UI/Sprite/Headportrait/monster_b_066</t>
  </si>
  <si>
    <t>神授军团中的精英，沐浴过原初圣水的结社牧师。作为信仰更为坚定的成员，他们拥有利用火元素制造领域的能力。这也是原初圣子给他们的特殊优待。</t>
  </si>
  <si>
    <t>UI/Sprite/Headportrait/monster_b_049</t>
  </si>
  <si>
    <t>神授军团中的精英，沐浴过原初圣水的结社牧师。作为信仰更为坚定的成员，他们拥有利用冰元素制造领域的能力。这也是原初圣子给他们的特殊优待。</t>
  </si>
  <si>
    <t>UI/Sprite/Headportrait/monster_b_048</t>
  </si>
  <si>
    <t>神授军团中的精英，沐浴过原初圣水的结社法师。之后他们可以随意使用这种赐福，将原初圣子的力量转化为自己擅长的火焰魔法。</t>
  </si>
  <si>
    <t>UI/Sprite/Headportrait/monster_b_054</t>
  </si>
  <si>
    <t>神授军团中的精英，沐浴过原初圣水的结社法师。之后他们可以随意使用这种赐福，将原初圣子的力量转化为自己擅长的寒冰魔法。</t>
  </si>
  <si>
    <t>UI/Sprite/Headportrait/monster_b_055</t>
  </si>
  <si>
    <t>怪物id</t>
  </si>
  <si>
    <t>语音资源</t>
  </si>
  <si>
    <t>语音文本</t>
  </si>
  <si>
    <t>Resource</t>
  </si>
  <si>
    <t>Key_Text</t>
  </si>
  <si>
    <t>Text</t>
  </si>
  <si>
    <t>配置怪物页签流水id</t>
  </si>
  <si>
    <t>受到攻击</t>
  </si>
  <si>
    <t>这是我和爱丽丝的乐园，你们休想破坏！</t>
  </si>
  <si>
    <t>技能语音1</t>
  </si>
  <si>
    <t>区区降格者，玩什么英雄游戏。</t>
  </si>
  <si>
    <t>技能语音2</t>
  </si>
  <si>
    <t>惨叫吧，嚎哭吧，为我的花园奏响噩梦的礼赞。</t>
  </si>
  <si>
    <t>技能语音3</t>
  </si>
  <si>
    <t>鲜活的生命力，强大的灵魂，是最好的养料。</t>
  </si>
  <si>
    <t>战斗开始</t>
  </si>
  <si>
    <t>就让你们的灵魂成为这花园的养分吧。</t>
  </si>
  <si>
    <t>不是这样的，我不想……</t>
  </si>
  <si>
    <t>战中语音1</t>
  </si>
  <si>
    <t>是你吗？抢走姐姐的害虫。</t>
  </si>
  <si>
    <t>战中语音2</t>
  </si>
  <si>
    <t>不会让你逃走的。</t>
  </si>
  <si>
    <t>你们也尝尝我的痛苦吧。</t>
  </si>
  <si>
    <t>这是姐姐为我创造的乐园，你们休想破坏。</t>
  </si>
  <si>
    <t>绘本名称</t>
  </si>
  <si>
    <t>SceneId</t>
  </si>
  <si>
    <t>光夜童话</t>
  </si>
  <si>
    <t>致爱丽丝</t>
  </si>
  <si>
    <t>新编火鸟</t>
  </si>
  <si>
    <t>绘本插画</t>
  </si>
  <si>
    <t>插画描述</t>
  </si>
  <si>
    <t>Key_解锁条件文本</t>
  </si>
  <si>
    <t>解锁条件文本</t>
  </si>
  <si>
    <t>全屏插图</t>
  </si>
  <si>
    <t>PicDetail</t>
  </si>
  <si>
    <t>UI/Sprite/PicBook/picbook_img1_1</t>
  </si>
  <si>
    <t>露可喜欢奥莉薇尔姐姐。她会在冬天给露可唱好听的歌，手也很温暖，所以就算只有两个人也不害怕。</t>
  </si>
  <si>
    <t>UI/Sprite/PicBook/picbook_img1_2</t>
  </si>
  <si>
    <t>父亲大人又送来了好多蛋糕。露可想把它们分给奥莉薇尔姐姐，但姐姐却推开了。</t>
  </si>
  <si>
    <t>UI/Sprite/PicBook/picbook_img_b_1_2</t>
  </si>
  <si>
    <t>UI/Sprite/PicBook/picbook_img1_3</t>
  </si>
  <si>
    <t>姐姐哭了。露可想要去抱住她，但不管怎么努力，姐姐都离露可越来越远。</t>
  </si>
  <si>
    <t>UI/Sprite/PicBook/picbook_img_b_1_3</t>
  </si>
  <si>
    <t>UI/Sprite/PicBook/picbook_img1_4</t>
  </si>
  <si>
    <t>姐姐读的童话里说，王子会顺着公主长长的头发去高塔上救她。如果露可能更厉害一点，能和姐姐永远在一起吗？</t>
  </si>
  <si>
    <t>UI/Sprite/PicBook/picbook_img_b_1_4</t>
  </si>
  <si>
    <t>UI/Sprite/PicBook/picbook_img2_1</t>
  </si>
  <si>
    <t>我叫爱丽丝，我的爸爸叫安托万，妈妈叫格莉妮。我最喜欢爸爸妈妈了。</t>
  </si>
  <si>
    <t>UI/Sprite/PicBook/picbook_img_b_2_1</t>
  </si>
  <si>
    <t>UI/Sprite/PicBook/picbook_img2_2</t>
  </si>
  <si>
    <t>可是有一天，爱丽丝得了很严重的病，爸爸和妈妈都很伤心。</t>
  </si>
  <si>
    <t>UI/Sprite/PicBook/picbook_img_b_2_2</t>
  </si>
  <si>
    <t>UI/Sprite/PicBook/picbook_img2_3</t>
  </si>
  <si>
    <t>爸爸说给爱丽丝治病要花好多好多钱，他找了好多奇怪的人，样子也变得很可怕。妈妈只能抱着爱丽丝祈祷和哭泣。</t>
  </si>
  <si>
    <t>UI/Sprite/PicBook/picbook_img_b_2_3</t>
  </si>
  <si>
    <t>UI/Sprite/PicBook/picbook_img2_4</t>
  </si>
  <si>
    <t>后来，妈妈也变了。爱丽丝……不想妈妈再因为我痛苦了。</t>
  </si>
  <si>
    <t>UI/Sprite/PicBook/picbook_img_b_2_4</t>
  </si>
  <si>
    <t>UI/Sprite/PicBook/picbook_img3_1</t>
  </si>
  <si>
    <t>误入森林的小女孩照顾了受伤的火鸟，临别时火鸟将羽毛送给了小女孩。“你可以用它召唤我”，火鸟说。女孩很开心，孤独的她终于拥有了第一个朋友。</t>
  </si>
  <si>
    <t>UI/Sprite/PicBook/picbook_img_b_3_1</t>
  </si>
  <si>
    <t>UI/Sprite/PicBook/picbook_img3_2</t>
  </si>
  <si>
    <t>女孩欣喜地回到村庄，却发现原本平静的村庄现在狂风肆虐，风暴魔王来了。魔王勒令村民们七天之内奉上火鸟的心脏，否则就摧毁村庄，村民们都陷入了恐惧和不安之中……</t>
  </si>
  <si>
    <t>UI/Sprite/PicBook/picbook_img_b_3_2</t>
  </si>
  <si>
    <t>UI/Sprite/PicBook/picbook_img3_3</t>
  </si>
  <si>
    <t>“要召唤火鸟吗？”女孩躲在角落手捧着发出温暖光芒的羽毛，那美丽而神秘的火鸟是小女孩唯一的朋友，是她的希望，她的光。</t>
  </si>
  <si>
    <t>UI/Sprite/PicBook/picbook_img_b_3_3</t>
  </si>
  <si>
    <t>UI/Sprite/PicBook/picbook_img3_4</t>
  </si>
  <si>
    <t>“不，火鸟选择了我，我必须捍卫它！”挣扎许久，女孩终于做出了她的选择。温暖的羽毛化作了锋利的镰刀，即使双肩颤抖，瘦弱的女孩依然向魔王的城堡走去。</t>
  </si>
  <si>
    <t>UI/Sprite/PicBook/picbook_img3_5</t>
  </si>
  <si>
    <t>魔王太强大了，女孩很快就伤痕满身，可她依旧紧握着巨镰，“要战斗，要战斗，要战斗！只有我能保护她！”，女孩默念着。</t>
  </si>
  <si>
    <t>UI/Sprite/PicBook/picbook_img_b_3_5</t>
  </si>
  <si>
    <t>UI/Sprite/PicBook/picbook_img3_6</t>
  </si>
  <si>
    <t>危急之时，火鸟出现了，像是感受到了女孩赤忱的意志一般，火鸟煽动翅膀掀起一道道烈焰袭向魔王。</t>
  </si>
  <si>
    <t>UI/Sprite/PicBook/picbook_img_b_3_6</t>
  </si>
  <si>
    <t>UI/Sprite/PicBook/picbook_img3_7</t>
  </si>
  <si>
    <t>终于，魔王被打倒了，遍体鳞伤的女孩儿再也无法支撑，她不断地下坠……下坠……</t>
  </si>
  <si>
    <t>UI/Sprite/PicBook/picbook_img_b_3_7</t>
  </si>
  <si>
    <t>UI/Sprite/PicBook/picbook_img3_8</t>
  </si>
  <si>
    <t>直到火鸟将她轻轻驼起，直到温柔的火光将她团团包裹。女孩换上了华服，长出了翅膀，她仿佛变成了另一只火鸟……“挣脱了尘世的桎梏，越过了彷徨的迷雾，勇气就是你的翅膀，飞翔吧，女孩。”，火鸟微笑着扇动翅膀向天空飞去……</t>
  </si>
  <si>
    <t>UI/Sprite/PicBook/picbook_img_b_3_8</t>
  </si>
  <si>
    <t>道具名称</t>
  </si>
  <si>
    <t>道具图标</t>
  </si>
  <si>
    <t>道具模型</t>
  </si>
  <si>
    <t>道具展示场景id</t>
  </si>
  <si>
    <t>道具id</t>
  </si>
  <si>
    <t>道具描述</t>
  </si>
  <si>
    <t>MainItemPic</t>
  </si>
  <si>
    <t>MainItemModel</t>
  </si>
  <si>
    <t>MainItemId</t>
  </si>
  <si>
    <t>关联CharacterConfig_Toon的流水id中的首位</t>
  </si>
  <si>
    <t>关联CharacterConfig_Toon的流水id中的后6位</t>
  </si>
  <si>
    <t>灿晶星盘</t>
  </si>
  <si>
    <t>UI/Sprite/PicBook/world_tools_1</t>
  </si>
  <si>
    <t>Monster/Npc_2_1_Weapon_Story</t>
  </si>
  <si>
    <t>每一位降格者都能在剧团内获得专属自己的灿晶星盘，而制作它是灿灵协约的独门绝技，此后灿晶星盘还会被打造成符合使用者能力的专属武器。\n究竟如何使降格者无法使用的黯晶，转变为激发他们潜在力量的灿晶呢？就连老团长留下的诸多手记中也没有答案。有传言说灿晶星盘内寄宿着灵魂，或许……这并非空穴来风。</t>
  </si>
  <si>
    <t>露可的绘本</t>
  </si>
  <si>
    <t>UI/Sprite/PicBook/world_tools_2</t>
  </si>
  <si>
    <t>露可一直带在身边，视若珍宝的手绘绘本。它并非正式出版物，而是一本精装绘图本，最初由奥莉薇尔编绘赠与露可，后续露可也增添了很多思念姐姐的内容。可以说这本绘本充满了她的童年回忆，是维系着姐妹感情的纽带 ，总能带领露可前往姐姐身边。\n而现在，绘本似乎在乐园中激发出了新的能力——那些空白的页面，想必也会慢慢被大家的故事和回忆填满吧。</t>
  </si>
  <si>
    <t>乐园筹码</t>
  </si>
  <si>
    <t>UI/Sprite/PicBook/world_tools_6</t>
  </si>
  <si>
    <t>Monster/Scene_Desire_Chip</t>
  </si>
  <si>
    <t>贪婪乐园中人类对“物欲”贪欲的具象化表现。\n在洛兰娜被城主引进的”娱乐“侵蚀之后，不少人在赌场中倾家荡产，这些人的灵魂进入乐园后，贪欲被扭曲放大，最终化为这显而易见的一枚筹码。</t>
  </si>
  <si>
    <t>家徽戒指</t>
  </si>
  <si>
    <t>UI/Sprite/PicBook/world_tools_5</t>
  </si>
  <si>
    <t>Monster/Story_3000X_Ring</t>
  </si>
  <si>
    <t>贪婪乐园中人类对“权力”贪欲的具象化表现。\n即使城主安托万的初衷只是为了拯救女儿，可在支配洛兰娜的过程中，谁也没法保证手握权力的不会膨胀，更别提在放大贪婪之罪的乐园中了。</t>
  </si>
  <si>
    <t>爱丽丝的眼泪</t>
  </si>
  <si>
    <t>UI/Sprite/PicBook/world_tools_4</t>
  </si>
  <si>
    <t>Monster/Story_3000X_Bottle</t>
  </si>
  <si>
    <t>贪婪乐园中城主的”真正宝物“。\n是他残留的人性中最纯净的部分，被小心的收藏在水晶瓶中，藏在心中。只有女儿的眼泪分量足够开启通往生命花园的道路。</t>
  </si>
  <si>
    <t>乐园之果</t>
  </si>
  <si>
    <t>UI/Sprite/BagGoodsIcon/tools_00016</t>
  </si>
  <si>
    <t>Monster/Scene_Apple</t>
  </si>
  <si>
    <t>乐园中最为珍贵的果实，圣子灵魂和力量的结晶，是解放拥有罪名之乐园的关键所在。在贪婪圣子寄来的信中，它被称为“灿晶之核”，似乎还蕴含着打破依露希尔女神枷锁的力量……总之，关于乐园之果的诸多秘密，远未浮出水面。</t>
  </si>
  <si>
    <t>曾为纯白之花</t>
  </si>
  <si>
    <t>UI/Sprite/PicBook/world_tools_3</t>
  </si>
  <si>
    <t>Monster/Boss_1_2_Flower_Crystal</t>
  </si>
  <si>
    <t>击败取回全部记忆的“嫉妒之圣子”后，得到的蕴含乐园力量的物件。原本似乎是一朵白色的纸玫瑰。\n少女曾对世界怀有温柔的爱意，因此更无法原谅犯下恶行的自己。正如象征心意的花朵被黯晶侵染，她在黑紫色的噩梦中看见乐园的嗤笑，是自己无法抵达的另一个未来的泡影。</t>
  </si>
  <si>
    <t>协同装置</t>
  </si>
  <si>
    <t>UI/Sprite/PicBook/world_tools_exp_t2</t>
  </si>
  <si>
    <t>Monster/Normal_14_1_Battle</t>
  </si>
  <si>
    <t>乐园中的奥莉薇尔送给我们的装置，会协助我方攻击敌人。带有一丝属于乐园的不详气息，但经检查没有危险。</t>
  </si>
  <si>
    <t>类别</t>
  </si>
  <si>
    <t>名称</t>
  </si>
  <si>
    <t>资源路径</t>
  </si>
  <si>
    <t>TitleType</t>
  </si>
  <si>
    <t>HeadPic</t>
  </si>
  <si>
    <t>关联AnimationType表id</t>
  </si>
  <si>
    <t>歌斐尔剧团</t>
  </si>
  <si>
    <t>黛尔西娅</t>
  </si>
  <si>
    <t>敌意</t>
  </si>
  <si>
    <t>幽默</t>
  </si>
  <si>
    <t>舞台</t>
  </si>
  <si>
    <t>摇篮</t>
  </si>
  <si>
    <t>温床</t>
  </si>
  <si>
    <t>无谓输赢</t>
  </si>
  <si>
    <t>根基</t>
  </si>
  <si>
    <t>创伤应激</t>
  </si>
  <si>
    <t>幼稚</t>
  </si>
  <si>
    <t>牺牲</t>
  </si>
  <si>
    <t>温暖</t>
  </si>
  <si>
    <t>贪欲</t>
  </si>
  <si>
    <t>悲愿</t>
  </si>
  <si>
    <t>嫣红</t>
  </si>
  <si>
    <t>致爱丽丝（下）</t>
  </si>
  <si>
    <t>妈妈</t>
  </si>
  <si>
    <t>无翼之鸟</t>
  </si>
  <si>
    <t>庆功宴</t>
  </si>
  <si>
    <t>违和感</t>
  </si>
  <si>
    <t>塔</t>
  </si>
  <si>
    <t>蔷薇之死</t>
  </si>
  <si>
    <t>光点</t>
  </si>
  <si>
    <t>灿晶之核</t>
  </si>
  <si>
    <t>灿晶武器</t>
  </si>
  <si>
    <t>UI/Sprite/Loading/loading_bg_2</t>
  </si>
  <si>
    <t>星晶碑</t>
  </si>
  <si>
    <t>UI/Sprite/Loading/loading_bg_3</t>
  </si>
  <si>
    <t>歌斐尔之舟</t>
  </si>
  <si>
    <t>UI/Sprite/Loading/loading_bg_4</t>
  </si>
  <si>
    <t>UI/Sprite/Loading/loading_bg_6</t>
  </si>
  <si>
    <t>乐园</t>
  </si>
  <si>
    <t>UI/Sprite/Loading/loading_bg_8</t>
  </si>
  <si>
    <t>UI/Sprite/Loading/loading_bg_9</t>
  </si>
  <si>
    <t>UI/Sprite/Loading/loading_bg_11</t>
  </si>
  <si>
    <t>圣子</t>
  </si>
  <si>
    <t>UI/Sprite/Loading/loading_bg_12</t>
  </si>
  <si>
    <t>UI/Sprite/Loading/loading_bg_15</t>
  </si>
  <si>
    <t>UI/Sprite/Loading/loading_bg_16</t>
  </si>
  <si>
    <t>克洛娅</t>
  </si>
  <si>
    <t>米蕾雅</t>
  </si>
  <si>
    <t>露可</t>
  </si>
  <si>
    <t>乌米</t>
  </si>
  <si>
    <t>Key_标题名称</t>
  </si>
  <si>
    <t>标题名称</t>
  </si>
  <si>
    <t>优先级</t>
  </si>
  <si>
    <t>世界观</t>
  </si>
  <si>
    <t>Monster/Prop_Book</t>
    <phoneticPr fontId="15" type="noConversion"/>
  </si>
  <si>
    <t>看起来是正太萝莉齐聚一堂，可可爱爱甜度超标，实际上该组织虽然顶着一个甜蜜的名字，内在却相当”疯狂“，不论是腹黑还是狂气，撒谎精还是暴力狂，都能在这里找到一席之地。</t>
    <phoneticPr fontId="15" type="noConversion"/>
  </si>
  <si>
    <t>被团长“请”来剧团之前，都是作为一匹孤狼浪迹天涯，独自隐居于大陆上的降格者们。所以严格来说此前流浪者们这并不是一个组织，而是进入剧团之后才以出身进行了划分。这些人大多身怀异能，所以能在恶劣的环境中生存，因为流浪(穷)他们造型大多偏向荒野系，有野性感。</t>
    <phoneticPr fontId="15" type="noConversion"/>
  </si>
  <si>
    <t>身为化身者中最高等的存在，“龙”一直以来都被认为是强大能量的集合体。为了让这种力量为自己所用，晶芒结社不惜铤而走险，甚至亵渎生命。</t>
  </si>
  <si>
    <t>UI/Sprite/Headportrait/boss_b_020</t>
  </si>
  <si>
    <t>神授军团中的精英，沐浴过原初圣水的弓弩骑士。他们的箭矢受到原初圣子的黑暗赐福，箭簇变为了纯粹的暗影。</t>
  </si>
  <si>
    <t>UI/Sprite/Headportrait/monster_b_063</t>
  </si>
  <si>
    <t>堕入乐园的神授弓手，已经失去了视力，他们最享受的是利箭离弦时带来的快感</t>
  </si>
  <si>
    <t>克利西瓦研究所中的实验对象，如今已成为非人的怪物。头上那显现出电流烧灼痕迹的拘束器嗡嗡作响，哭诉着她在过去的时日中所遭受的一切</t>
  </si>
  <si>
    <t>UI/Sprite/Headportrait/monster_b_076</t>
  </si>
  <si>
    <t>克利西瓦研究所中的实验对象，如今已成为非人的怪物。打入脑部的强化针剂让他们已经完全沦为了实验者的玩物，而身上肿胀的其他部分，便是那些实验的结果</t>
  </si>
  <si>
    <t>UI/Sprite/Headportrait/monster_b_077</t>
  </si>
  <si>
    <t>克利西瓦研究所中的实验对象，如今已成为非人的怪物。实验者们曾经尝试过名为“动物嫁接”的技术，但最终只留下了难以驾驭的畸变者</t>
  </si>
  <si>
    <t>UI/Sprite/Headportrait/monster_b_078</t>
  </si>
  <si>
    <t>克利西瓦研究所中的实验对象，看起来还有人形，但已无法正常交流，而他们身边的医疗用具，仅仅是为了维持他们最低限度的生存罢了</t>
  </si>
  <si>
    <t>UI/Sprite/Headportrait/monster_b_079</t>
  </si>
  <si>
    <t>克利西瓦研究所中的工作人员，为实验室的主人执行注射、缝合、切片等操作。这些人为自身不在手术台上而心存侥幸，却不知她们也会步其后尘</t>
  </si>
  <si>
    <t>UI/Sprite/Headportrait/monster_b_080</t>
  </si>
  <si>
    <t>加文·克利西瓦变为噬梦者以后的样子。作为研究所的所长却一直进行亵渎生命的科学研究，认为科学的最终目的是成为“神”。最终他让自己的意识体进入乐园，并企图与灿晶之核连接</t>
  </si>
  <si>
    <t>UI/Sprite/Headportrait/monster_b_081</t>
  </si>
  <si>
    <t>记忆塑造自我，众多记忆碎片聚合便表现出了灵魂的特性。\n迷宫中同时存在着黛尔西娅和团长的记忆碎片，它们彼此纠缠、聚合、拉扯……形成了这一被称作”纠缠双生“的独特的迷宫意识体生物。\n纠缠双生通常表现为两股互相流动的能量、彼此拼接的抽象几何体。\n纠缠双生的形态非常不稳定，时常会散落出许多灵魂碎片，而又重新聚合。</t>
    <phoneticPr fontId="15" type="noConversion"/>
  </si>
  <si>
    <t>UI/Sprite/Headportrait/boss_b_026</t>
    <phoneticPr fontId="15" type="noConversion"/>
  </si>
  <si>
    <t>Vo_Boss_Greeny_Battle_Damage_Picture</t>
    <phoneticPr fontId="15" type="noConversion"/>
  </si>
  <si>
    <t>Vo_Boss_Greeny_Battle_Skill1_Picture</t>
    <phoneticPr fontId="15" type="noConversion"/>
  </si>
  <si>
    <t>Vo_Boss_Greeny_Battle_Skill2_Picture</t>
    <phoneticPr fontId="15" type="noConversion"/>
  </si>
  <si>
    <t>Vo_Boss_Greeny_Battle_Skill3_Picture</t>
    <phoneticPr fontId="15" type="noConversion"/>
  </si>
  <si>
    <t>Vo_Boss_Greeny_Battle_Start_Picture</t>
    <phoneticPr fontId="15" type="noConversion"/>
  </si>
  <si>
    <t>Vo_Boss_Rooco_Battle_Damage_Picture</t>
    <phoneticPr fontId="15" type="noConversion"/>
  </si>
  <si>
    <t>Vo_Boss_Rooco_Battle_Skill1_Picture</t>
    <phoneticPr fontId="15" type="noConversion"/>
  </si>
  <si>
    <t>Vo_Boss_Rooco_Battle_Skill2_Picture</t>
    <phoneticPr fontId="15" type="noConversion"/>
  </si>
  <si>
    <t>Vo_Boss_Rooco_Battle_Skill3_Picture</t>
    <phoneticPr fontId="15" type="noConversion"/>
  </si>
  <si>
    <t>Vo_Boss_Rooco_Battle_Start_Picture</t>
    <phoneticPr fontId="15" type="noConversion"/>
  </si>
  <si>
    <t>迷音</t>
  </si>
  <si>
    <t>偷听者</t>
  </si>
  <si>
    <t>雪墙</t>
  </si>
  <si>
    <t>门</t>
  </si>
  <si>
    <t>奇遇</t>
  </si>
  <si>
    <t>雪璐</t>
  </si>
  <si>
    <t>睡意</t>
  </si>
  <si>
    <t>雪境</t>
  </si>
  <si>
    <t>旧音</t>
  </si>
  <si>
    <t>罪魁祸首</t>
  </si>
  <si>
    <t>另一个问题</t>
  </si>
  <si>
    <t>回忆小屋</t>
  </si>
  <si>
    <t>炎冬的故事</t>
    <phoneticPr fontId="15" type="noConversion"/>
  </si>
  <si>
    <t>UI/Sprite/PicBook/picbook_img4_2</t>
  </si>
  <si>
    <t>UI/Sprite/PicBook/picbook_img4_3</t>
  </si>
  <si>
    <t>UI/Sprite/PicBook/picbook_img4_4</t>
  </si>
  <si>
    <t>族群北迁，被视作污秽的那个年幼的混血雪精灵被留在了原地。她乘上自己破旧的小船，孤零零地驶向南方……</t>
  </si>
  <si>
    <t>多年过去，小雪精灵已经有了自己的生活，曾经的朋友小火龙却托梦于她，告诉她，雪精灵族群需要她的拯救。</t>
  </si>
  <si>
    <t>小雪精灵很矛盾，她不知道是否该帮助曾经伤害过自己的人。这时，身边的伙伴告诉她，抛开恩怨去做自己认为正确的事吧。</t>
  </si>
  <si>
    <t>一场素洁的雪浇熄了恶魔的火焰，雪精灵族群得救了，在大家的称颂和感谢中，小雪精灵和伙伴们远去，她久逢阴雨的心终于放晴。</t>
  </si>
  <si>
    <t>UI/Sprite/PicBook/picbook_img_b_4_2</t>
  </si>
  <si>
    <t>UI/Sprite/PicBook/picbook_img_b_4_3</t>
  </si>
  <si>
    <t>UI/Sprite/PicBook/picbook_img_b_4_4</t>
  </si>
  <si>
    <t>UI/Sprite/Headportrait/boss_b_028</t>
    <phoneticPr fontId="15" type="noConversion"/>
  </si>
  <si>
    <t>囿于噩梦的轮回和迷于美梦的漩涡，哪一个更让你恐惧呢？\n除了以美梦迷诱生灵的乐园，在依露希尔大陆上还存在着以噩梦为原型的空间。\n噩兆之魇就是噩梦空间中最危险的生物，它诞于噩梦主人潜意识深处的恐惧。\n这是一只被地狱的幻象所照映的噩兆之魇，它等待着噩梦的主人沉沦于地狱梦境中，最终将灵魂献上，成为不灭火海的柴薪。</t>
    <phoneticPr fontId="15" type="noConversion"/>
  </si>
  <si>
    <t>雪原煦梦</t>
    <phoneticPr fontId="15" type="noConversion"/>
  </si>
  <si>
    <t>回忆来袭</t>
  </si>
  <si>
    <t>寂境的暖风</t>
  </si>
  <si>
    <t>爷爷的微笑</t>
  </si>
  <si>
    <t>最初的问候</t>
  </si>
  <si>
    <t>言语与裂痕</t>
  </si>
  <si>
    <t>破除阴云</t>
  </si>
  <si>
    <t>回到现实</t>
  </si>
  <si>
    <t>新的危机</t>
  </si>
  <si>
    <t>基尔的阴霾</t>
  </si>
  <si>
    <t>争吵的真相</t>
  </si>
  <si>
    <t>暖黄色的回忆</t>
  </si>
  <si>
    <t>伸出的手</t>
  </si>
  <si>
    <t>所谓朋友</t>
  </si>
  <si>
    <t>旅途之名</t>
    <phoneticPr fontId="15" type="noConversion"/>
  </si>
  <si>
    <t>布罗菲是众星捧月的天才，嘟嘟是人人嘲笑的笨蛋，但他们是朋友，他们总是一起迎接清晨的第一缕阳光。</t>
  </si>
  <si>
    <t>布罗菲和嘟嘟一起旅行，日升月落，道路一直延伸，延伸……</t>
  </si>
  <si>
    <t>告别之日总会来临，嘟嘟总会需要独自面对风雨。而布罗菲相信，彼时勇敢的嘟嘟一定会坚强向前走，不回头。</t>
  </si>
  <si>
    <t>而布罗菲会在自己的终点祝福着远行的嘟嘟，向日葵啊请对她微笑，天空啊请为她放晴， 好心的神灵啊请将她温柔相拥。</t>
  </si>
  <si>
    <t>火焰大厨</t>
  </si>
  <si>
    <t>真相只有一个！</t>
  </si>
  <si>
    <t>绯妮的坦白</t>
  </si>
  <si>
    <t>狂飙</t>
  </si>
  <si>
    <t>艾隆·欧塔</t>
  </si>
  <si>
    <t>防卫程序</t>
  </si>
  <si>
    <t>密码</t>
  </si>
  <si>
    <t>真相的漩涡</t>
  </si>
  <si>
    <t>灿晶之殿</t>
  </si>
  <si>
    <t>加文·克利西瓦</t>
  </si>
  <si>
    <t>合作邀约</t>
  </si>
  <si>
    <t>另一条路</t>
  </si>
  <si>
    <t>空处</t>
  </si>
  <si>
    <t>拉丝蒂娜</t>
  </si>
  <si>
    <t>背叛</t>
  </si>
  <si>
    <t>暴怒之圣子</t>
  </si>
  <si>
    <t>约定</t>
  </si>
  <si>
    <t>刻音</t>
  </si>
  <si>
    <t>归来的平静</t>
  </si>
  <si>
    <t>机械师与学徒</t>
  </si>
  <si>
    <t>咸鱼行动</t>
  </si>
  <si>
    <t>阴影之中</t>
  </si>
  <si>
    <t>爆炸狂</t>
  </si>
  <si>
    <t>火车变道</t>
  </si>
  <si>
    <t>失散</t>
  </si>
  <si>
    <t>暗色愈深</t>
  </si>
  <si>
    <t>威胁</t>
  </si>
  <si>
    <t>重逢</t>
  </si>
  <si>
    <t>霍恩海姆计划</t>
  </si>
  <si>
    <t>神明的祭品</t>
  </si>
  <si>
    <t>暧昧</t>
  </si>
  <si>
    <t>千里婵娟</t>
    <phoneticPr fontId="15" type="noConversion"/>
  </si>
  <si>
    <t>UI/Sprite/PicBook/picbook_img6_1</t>
  </si>
  <si>
    <t>依露希尔女神织起一轮明月，照亮了寂暗夜空。</t>
  </si>
  <si>
    <t>UI/Sprite/PicBook/picbook_img_b_6_1</t>
  </si>
  <si>
    <t>UI/Sprite/PicBook/picbook_img6_2</t>
  </si>
  <si>
    <t>遵循神旨，被选召的少女只身奔月成为月神，地上的母亲牵挂不已。</t>
  </si>
  <si>
    <t>UI/Sprite/PicBook/picbook_img_b_6_2</t>
  </si>
  <si>
    <t>UI/Sprite/PicBook/picbook_img6_3</t>
  </si>
  <si>
    <t>女神怜月神思乡之苦，派遣月精牵一缕传音的丝线，使得月神与母亲得以在月圆之日互诉衷肠。</t>
  </si>
  <si>
    <t>UI/Sprite/PicBook/picbook_img_b_6_3</t>
  </si>
  <si>
    <t>UI/Sprite/PicBook/picbook_img6_4</t>
  </si>
  <si>
    <t>东国后人为了纪念这对母女设立了夕月节，每逢夕月节，吃月饼，放花灯，千家万户庆团圆。</t>
  </si>
  <si>
    <t>UI/Sprite/PicBook/picbook_img_b_6_4</t>
  </si>
  <si>
    <t>誓言</t>
  </si>
  <si>
    <t>九香坞</t>
  </si>
  <si>
    <t>免费的午餐</t>
  </si>
  <si>
    <t>洞</t>
  </si>
  <si>
    <t>棺中女子</t>
  </si>
  <si>
    <t>朔月</t>
  </si>
  <si>
    <t>新的成员</t>
  </si>
  <si>
    <t>食客失踪事件</t>
  </si>
  <si>
    <t>能力测试</t>
  </si>
  <si>
    <t>新的回忆</t>
  </si>
  <si>
    <t>生变</t>
  </si>
  <si>
    <t>美食乐园</t>
  </si>
  <si>
    <t>律力</t>
  </si>
  <si>
    <t>图纸</t>
  </si>
  <si>
    <t>交易</t>
  </si>
  <si>
    <t>粉墨登场</t>
  </si>
  <si>
    <t>时候未到</t>
  </si>
  <si>
    <t>惊蛰酒家的面点师傅，高大魁梧，肌肉健壮，在暴食乐园中被异化成了老虎的样子。</t>
  </si>
  <si>
    <t>惊蛰酒家的迎宾员，手脚麻利，妙语连珠，还会耍些杂技，在暴食乐园中被异化成了猴子的样子。</t>
  </si>
  <si>
    <t>惊蛰酒家的糖塑师，丹青妙手，一挥而就，在暴食乐园中被异化成了朱鹮的样子。</t>
  </si>
  <si>
    <t>惊蛰酒家的掌勺师傅，油温控制炉火纯青，在暴食乐园中被异化成了小熊猫的样子。</t>
  </si>
  <si>
    <t>惊蛰酒家的切墩师傅，刀工华丽精湛，令人眼花缭乱，在暴食乐园中被异化成了羚羊的样子。</t>
  </si>
  <si>
    <t>惊蛰酒家的保留节目，几名演员舞动着饕餮，朵朵金花于台上炸开，精妙绝伦。而在暴食乐园中，精彩的节目也异化成了骇人的凶兽。</t>
  </si>
  <si>
    <t>UI/Sprite/Headportrait/monster_b_087</t>
  </si>
  <si>
    <t>UI/Sprite/Headportrait/monster_b_085</t>
  </si>
  <si>
    <t>UI/Sprite/Headportrait/monster_b_083</t>
  </si>
  <si>
    <t>UI/Sprite/Headportrait/monster_b_084</t>
  </si>
  <si>
    <t>UI/Sprite/Headportrait/monster_b_086</t>
  </si>
  <si>
    <t>UI/Sprite/Headportrait/monster_b_082</t>
  </si>
  <si>
    <t>UI/Sprite/Headportrait/boss_b_029</t>
  </si>
  <si>
    <t>惊蛰酒家的老板娘，从底层摸爬滚打而来的百味帮大当家，嘴角噙着薄凉笑意，眼底是坚韧利光。\n她是灶台前的魔术师，是舞台上的幻变牡丹。\n而在她的千重面具之后藏着怎样的执念，无人知晓。</t>
    <phoneticPr fontId="15" type="noConversion"/>
  </si>
  <si>
    <t>炽热之心</t>
  </si>
  <si>
    <t>她的意图</t>
  </si>
  <si>
    <t>星盘空间</t>
  </si>
  <si>
    <t>最终试炼</t>
  </si>
  <si>
    <t>初见乐园</t>
  </si>
  <si>
    <t xml:space="preserve">营救未果                                                          </t>
  </si>
  <si>
    <t>特别之物</t>
  </si>
  <si>
    <t>拦路者</t>
  </si>
  <si>
    <t>天降神兵</t>
  </si>
  <si>
    <t>观察期</t>
  </si>
  <si>
    <t>不入流者</t>
  </si>
  <si>
    <t>隔阂</t>
  </si>
  <si>
    <t>决心</t>
  </si>
  <si>
    <t>破碎</t>
  </si>
  <si>
    <t>你的愿望</t>
  </si>
  <si>
    <t>指引</t>
  </si>
  <si>
    <t>柳暗花明</t>
  </si>
  <si>
    <t>At_Ba_Name_1</t>
  </si>
  <si>
    <t>At_Ba_Name_2</t>
  </si>
  <si>
    <t>At_Ba_Name_3</t>
  </si>
  <si>
    <t>At_Ba_Name_4</t>
  </si>
  <si>
    <t>At_Ba_Name_6</t>
  </si>
  <si>
    <t>At_Pi_Name_1</t>
  </si>
  <si>
    <t>At_Pi_Name_2</t>
  </si>
  <si>
    <t>At_Pi_Name_3</t>
  </si>
  <si>
    <t>At_Pi_Name_4</t>
  </si>
  <si>
    <t>At_Pi_Name_5</t>
  </si>
  <si>
    <t>At_Pi_Name_6</t>
  </si>
  <si>
    <t>At_Ma_Name_1</t>
  </si>
  <si>
    <t>At_Ma_Name_2</t>
  </si>
  <si>
    <t>At_Ma_Name_3</t>
  </si>
  <si>
    <t>At_Ma_Name_4</t>
  </si>
  <si>
    <t>At_Ma_Name_5</t>
  </si>
  <si>
    <t>At_Ma_Name_6</t>
  </si>
  <si>
    <t>At_Ma_Name_7</t>
  </si>
  <si>
    <t>At_Ma_Name_8</t>
  </si>
  <si>
    <t>At_An_Name_2</t>
  </si>
  <si>
    <t>At_An_Name_3</t>
  </si>
  <si>
    <t>At_An_Name_5</t>
  </si>
  <si>
    <t>At_An_Name_8</t>
  </si>
  <si>
    <t>At_An_Name_9</t>
  </si>
  <si>
    <t>At_An_Name_10</t>
  </si>
  <si>
    <t>At_An_Name_11</t>
  </si>
  <si>
    <t>At_An_Name_101</t>
  </si>
  <si>
    <t>At_An_Name_102</t>
  </si>
  <si>
    <t>At_An_Name_103</t>
  </si>
  <si>
    <t>At_An_Name_104</t>
  </si>
  <si>
    <t>At_An_Name_105</t>
  </si>
  <si>
    <t>At_An_Name_106</t>
  </si>
  <si>
    <t>At_An_Name_107</t>
  </si>
  <si>
    <t>At_An_Name_108</t>
  </si>
  <si>
    <t>At_An_Name_109</t>
  </si>
  <si>
    <t>At_An_Name_110</t>
  </si>
  <si>
    <t>At_An_Name_111</t>
  </si>
  <si>
    <t>At_An_Name_112</t>
  </si>
  <si>
    <t>At_An_Name_113</t>
  </si>
  <si>
    <t>TitleTypeName</t>
    <phoneticPr fontId="15" type="noConversion"/>
  </si>
  <si>
    <t>None</t>
    <phoneticPr fontId="15" type="noConversion"/>
  </si>
  <si>
    <t>仅为左列注释</t>
    <phoneticPr fontId="15" type="noConversion"/>
  </si>
  <si>
    <t>At_Ch_Describe_2</t>
  </si>
  <si>
    <t>At_Ch_Describe_3</t>
  </si>
  <si>
    <t>At_Ch_Describe_4</t>
  </si>
  <si>
    <t>At_Ch_Describe_5</t>
  </si>
  <si>
    <t>At_Ch_Describe_7</t>
  </si>
  <si>
    <t>At_Ch_Describe_9</t>
  </si>
  <si>
    <t>At_Ch_Describe_10</t>
  </si>
  <si>
    <t>At_Ch_Describe_11</t>
  </si>
  <si>
    <t>At_Ch_Describe_12</t>
  </si>
  <si>
    <t>At_Mo_Describe_1</t>
  </si>
  <si>
    <t>At_Mo_Describe_2</t>
  </si>
  <si>
    <t>At_Mo_Describe_3</t>
  </si>
  <si>
    <t>At_Mo_Describe_4</t>
  </si>
  <si>
    <t>At_Mo_Describe_5</t>
  </si>
  <si>
    <t>At_Mo_Describe_6</t>
  </si>
  <si>
    <t>At_Mo_Describe_7</t>
  </si>
  <si>
    <t>At_Mo_Describe_9</t>
  </si>
  <si>
    <t>At_Mo_Describe_10</t>
  </si>
  <si>
    <t>At_Mo_Describe_11</t>
  </si>
  <si>
    <t>At_Mo_Describe_12</t>
  </si>
  <si>
    <t>At_Mo_Describe_13</t>
  </si>
  <si>
    <t>At_Mo_Describe_14</t>
  </si>
  <si>
    <t>At_Mo_Describe_15</t>
  </si>
  <si>
    <t>At_Mo_Describe_16</t>
  </si>
  <si>
    <t>At_Mo_Describe_17</t>
  </si>
  <si>
    <t>At_Mo_Describe_18</t>
  </si>
  <si>
    <t>At_Mo_Describe_19</t>
  </si>
  <si>
    <t>At_Mo_Describe_20</t>
  </si>
  <si>
    <t>At_Mo_Describe_21</t>
  </si>
  <si>
    <t>At_Mo_Describe_22</t>
  </si>
  <si>
    <t>At_Mo_Describe_23</t>
  </si>
  <si>
    <t>At_Mo_Describe_24</t>
  </si>
  <si>
    <t>At_Mo_Describe_25</t>
  </si>
  <si>
    <t>At_Mo_Describe_26</t>
  </si>
  <si>
    <t>At_Mo_Describe_27</t>
  </si>
  <si>
    <t>At_Mo_Describe_28</t>
  </si>
  <si>
    <t>At_Mo_Describe_29</t>
  </si>
  <si>
    <t>At_Mo_Describe_30</t>
  </si>
  <si>
    <t>At_Mo_Describe_31</t>
  </si>
  <si>
    <t>At_Mo_Describe_32</t>
  </si>
  <si>
    <t>At_Mo_Describe_33</t>
  </si>
  <si>
    <t>At_Mo_Describe_34</t>
  </si>
  <si>
    <t>At_Mo_Describe_35</t>
  </si>
  <si>
    <t>At_Mo_Describe_36</t>
  </si>
  <si>
    <t>At_Mo_Describe_37</t>
  </si>
  <si>
    <t>At_Mo_Describe_38</t>
  </si>
  <si>
    <t>At_Mo_Describe_39</t>
  </si>
  <si>
    <t>At_Mo_Describe_40</t>
  </si>
  <si>
    <t>At_Mo_Describe_41</t>
  </si>
  <si>
    <t>At_Mo_Describe_42</t>
  </si>
  <si>
    <t>At_Mo_Describe_43</t>
  </si>
  <si>
    <t>At_Mo_Describe_44</t>
  </si>
  <si>
    <t>At_Mo_Describe_45</t>
  </si>
  <si>
    <t>At_Mo_Describe_46</t>
  </si>
  <si>
    <t>At_Mo_Describe_47</t>
  </si>
  <si>
    <t>At_Mo_Describe_48</t>
  </si>
  <si>
    <t>At_Mo_Describe_49</t>
  </si>
  <si>
    <t>At_Mo_Describe_50</t>
  </si>
  <si>
    <t>At_Mo_Describe_51</t>
  </si>
  <si>
    <t>At_Mo_Describe_52</t>
  </si>
  <si>
    <t>At_Mo_Describe_53</t>
  </si>
  <si>
    <t>At_Mo_Describe_54</t>
  </si>
  <si>
    <t>At_Mo_Describe_55</t>
  </si>
  <si>
    <t>At_Mo_Describe_56</t>
  </si>
  <si>
    <t>At_Mo_Describe_57</t>
  </si>
  <si>
    <t>At_Mo_Describe_58</t>
  </si>
  <si>
    <t>At_Mo_Describe_59</t>
  </si>
  <si>
    <t>At_Mo_Describe_60</t>
  </si>
  <si>
    <t>At_Mo_Describe_61</t>
  </si>
  <si>
    <t>At_Mo_Describe_62</t>
  </si>
  <si>
    <t>At_Mo_Describe_63</t>
  </si>
  <si>
    <t>At_Mo_Describe_64</t>
  </si>
  <si>
    <t>At_Mo_Describe_65</t>
  </si>
  <si>
    <t>At_Mo_Describe_66</t>
  </si>
  <si>
    <t>At_Mo_Describe_67</t>
  </si>
  <si>
    <t>At_Mo_Describe_68</t>
  </si>
  <si>
    <t>At_Mo_Describe_69</t>
  </si>
  <si>
    <t>At_Mo_Describe_70</t>
  </si>
  <si>
    <t>At_Mo_Describe_71</t>
  </si>
  <si>
    <t>At_Mo_Describe_72</t>
  </si>
  <si>
    <t>At_Mo_Describe_73</t>
  </si>
  <si>
    <t>At_Mo_Describe_74</t>
  </si>
  <si>
    <t>At_Mo_Describe_75</t>
  </si>
  <si>
    <t>At_Mo_Describe_76</t>
  </si>
  <si>
    <t>At_Mo_Describe_77</t>
  </si>
  <si>
    <t>At_Mo_Describe_78</t>
  </si>
  <si>
    <t>At_Mo_Describe_80</t>
  </si>
  <si>
    <t>At_Mo_Describe_81</t>
  </si>
  <si>
    <t>At_Mo_Describe_82</t>
  </si>
  <si>
    <t>At_Mo_Describe_83</t>
  </si>
  <si>
    <t>At_Mo_Describe_84</t>
  </si>
  <si>
    <t>At_Mo_Describe_85</t>
  </si>
  <si>
    <t>At_Mo_Describe_86</t>
  </si>
  <si>
    <t>At_Mo_Describe_87</t>
  </si>
  <si>
    <t>At_Mo_Describe_88</t>
  </si>
  <si>
    <t>At_Mo_Describe_89</t>
  </si>
  <si>
    <t>At_Mo_Describe_90</t>
  </si>
  <si>
    <t>At_Mo_Describe_91</t>
  </si>
  <si>
    <t>At_Mo_Describe_92</t>
  </si>
  <si>
    <t>At_Mo_Describe_93</t>
  </si>
  <si>
    <t>At_Mo_Describe_94</t>
  </si>
  <si>
    <t>At_Mo_Describe_95</t>
  </si>
  <si>
    <t>At_Vo_Describe_1</t>
  </si>
  <si>
    <t>At_Vo_Text_1</t>
  </si>
  <si>
    <t>At_Vo_Describe_2</t>
  </si>
  <si>
    <t>At_Vo_Describe_3</t>
  </si>
  <si>
    <t>At_Vo_Text_3</t>
  </si>
  <si>
    <t>At_Vo_Describe_4</t>
  </si>
  <si>
    <t>At_Vo_Text_4</t>
  </si>
  <si>
    <t>At_Vo_Describe_5</t>
  </si>
  <si>
    <t>At_Vo_Text_5</t>
  </si>
  <si>
    <t>At_Vo_Text_6</t>
  </si>
  <si>
    <t>At_Vo_Describe_7</t>
  </si>
  <si>
    <t>At_Vo_Text_7</t>
  </si>
  <si>
    <t>At_Vo_Describe_8</t>
  </si>
  <si>
    <t>At_Vo_Text_8</t>
  </si>
  <si>
    <t>At_Vo_Text_9</t>
  </si>
  <si>
    <t>At_Vo_Text_10</t>
  </si>
  <si>
    <t>At_Pi_Describe_1</t>
  </si>
  <si>
    <t>At_Pi_Describe_2</t>
  </si>
  <si>
    <t>At_Pi_Describe_3</t>
  </si>
  <si>
    <t>At_Pi_Describe_4</t>
  </si>
  <si>
    <t>At_Pi_Describe_5</t>
  </si>
  <si>
    <t>At_Pi_Describe_6</t>
  </si>
  <si>
    <t>At_Pi_Describe_7</t>
  </si>
  <si>
    <t>At_Pi_Describe_8</t>
  </si>
  <si>
    <t>At_Ma_Describe_2</t>
  </si>
  <si>
    <t>At_Ma_Describe_3</t>
  </si>
  <si>
    <t>At_Ma_Describe_4</t>
  </si>
  <si>
    <t>At_Ma_Describe_5</t>
  </si>
  <si>
    <t>At_Ma_Describe_6</t>
  </si>
  <si>
    <t>At_Ma_Describe_7</t>
  </si>
  <si>
    <t>At_Ma_Describe_8</t>
  </si>
  <si>
    <t>UI/Sprite/PicBook/picbook_img_b_1_1</t>
    <phoneticPr fontId="15" type="noConversion"/>
  </si>
  <si>
    <t>UI/Sprite/Loading/loading_bg_1</t>
    <phoneticPr fontId="15" type="noConversion"/>
  </si>
  <si>
    <t>At_Ba_Name_7</t>
  </si>
  <si>
    <t>旅途羁绊</t>
    <phoneticPr fontId="15" type="noConversion"/>
  </si>
  <si>
    <t>英雄小组</t>
    <phoneticPr fontId="15" type="noConversion"/>
  </si>
  <si>
    <t>Phantom</t>
    <phoneticPr fontId="15" type="noConversion"/>
  </si>
  <si>
    <t>PhantomTeam</t>
    <phoneticPr fontId="15" type="noConversion"/>
  </si>
  <si>
    <t>百味帮</t>
    <phoneticPr fontId="15" type="noConversion"/>
  </si>
  <si>
    <t>角色list</t>
    <phoneticPr fontId="15" type="noConversion"/>
  </si>
  <si>
    <t>1|2|11|28</t>
    <phoneticPr fontId="15" type="noConversion"/>
  </si>
  <si>
    <t>角色位置</t>
    <phoneticPr fontId="15" type="noConversion"/>
  </si>
  <si>
    <t>6|32|13|40|45</t>
    <phoneticPr fontId="15" type="noConversion"/>
  </si>
  <si>
    <t>艾娑小队</t>
    <phoneticPr fontId="15" type="noConversion"/>
  </si>
  <si>
    <t>4|7|22|19</t>
    <phoneticPr fontId="15" type="noConversion"/>
  </si>
  <si>
    <t>HeroList</t>
    <phoneticPr fontId="15" type="noConversion"/>
  </si>
  <si>
    <t>请填写
关联检查</t>
  </si>
  <si>
    <t>请填写
配置备注</t>
  </si>
  <si>
    <t>董图图</t>
  </si>
  <si>
    <t>uint32[]</t>
  </si>
  <si>
    <t>总星数</t>
  </si>
  <si>
    <t>总星数</t>
    <phoneticPr fontId="15" type="noConversion"/>
  </si>
  <si>
    <t>属性加成</t>
  </si>
  <si>
    <t>AddAttribute</t>
  </si>
  <si>
    <t>[uint=uint]</t>
  </si>
  <si>
    <t>属性ID=添加值</t>
  </si>
  <si>
    <t>绿剑</t>
  </si>
  <si>
    <t>角色ID</t>
  </si>
  <si>
    <t>角色星级</t>
  </si>
  <si>
    <t>备注</t>
  </si>
  <si>
    <t>1的情况下代表星数
2的情况下代表升火数</t>
  </si>
  <si>
    <t>SR升2星</t>
  </si>
  <si>
    <t>SR升3星</t>
  </si>
  <si>
    <t>SR升4星</t>
  </si>
  <si>
    <t>SR升5星</t>
  </si>
  <si>
    <t>SR升SSR</t>
  </si>
  <si>
    <t>天性解放1</t>
  </si>
  <si>
    <t>天性解放2</t>
  </si>
  <si>
    <t>天性解放3</t>
  </si>
  <si>
    <t>天性解放4</t>
  </si>
  <si>
    <t>天性解放5</t>
  </si>
  <si>
    <t>id</t>
  </si>
  <si>
    <t>id</t>
    <phoneticPr fontId="15" type="noConversion"/>
  </si>
  <si>
    <t>HeroID</t>
    <phoneticPr fontId="15" type="noConversion"/>
  </si>
  <si>
    <t>董图图</t>
    <phoneticPr fontId="15" type="noConversion"/>
  </si>
  <si>
    <t>Star</t>
    <phoneticPr fontId="15" type="noConversion"/>
  </si>
  <si>
    <t>[uint=uint]</t>
    <phoneticPr fontId="15" type="noConversion"/>
  </si>
  <si>
    <t>AddAttribute</t>
    <phoneticPr fontId="15" type="noConversion"/>
  </si>
  <si>
    <t>升1星（激活）</t>
    <phoneticPr fontId="15" type="noConversion"/>
  </si>
  <si>
    <t>唯一id</t>
  </si>
  <si>
    <t>套装ID</t>
  </si>
  <si>
    <t>星级</t>
  </si>
  <si>
    <t>star</t>
  </si>
  <si>
    <t>加法计算，直接增加添加值</t>
  </si>
  <si>
    <t>InspirationSuit</t>
  </si>
  <si>
    <t>InspirationStar</t>
  </si>
  <si>
    <t>Hero</t>
  </si>
  <si>
    <t>AtlasConfig_AnimationType</t>
    <phoneticPr fontId="15" type="noConversion"/>
  </si>
  <si>
    <t>AtlasConfig_InspirationSuit</t>
  </si>
  <si>
    <t>AtlasConfig_InspirationStar</t>
  </si>
  <si>
    <t>AtlasConfig_Hero</t>
  </si>
  <si>
    <t>剧作套装</t>
    <phoneticPr fontId="15" type="noConversion"/>
  </si>
  <si>
    <t>剧作星级</t>
    <phoneticPr fontId="15" type="noConversion"/>
  </si>
  <si>
    <t>角色小组</t>
    <phoneticPr fontId="15" type="noConversion"/>
  </si>
  <si>
    <t>角色</t>
    <phoneticPr fontId="15" type="noConversion"/>
  </si>
  <si>
    <t>HeroCoordinate</t>
    <phoneticPr fontId="15" type="noConversion"/>
  </si>
  <si>
    <t>董图图</t>
    <phoneticPr fontId="15" type="noConversion"/>
  </si>
  <si>
    <t>势力id</t>
    <phoneticPr fontId="15" type="noConversion"/>
  </si>
  <si>
    <t>TeamConfig</t>
    <phoneticPr fontId="15" type="noConversion"/>
  </si>
  <si>
    <t>TeamStar</t>
    <phoneticPr fontId="15" type="noConversion"/>
  </si>
  <si>
    <t>AtlasConfig_TeamConfig</t>
    <phoneticPr fontId="15" type="noConversion"/>
  </si>
  <si>
    <t>AtlasConfig_TeamStar</t>
    <phoneticPr fontId="15" type="noConversion"/>
  </si>
  <si>
    <t>角色小组星级</t>
    <phoneticPr fontId="15" type="noConversion"/>
  </si>
  <si>
    <t>势力ID</t>
  </si>
  <si>
    <t>ForceId</t>
  </si>
  <si>
    <t>对应force表id</t>
  </si>
  <si>
    <t>艾娑</t>
  </si>
  <si>
    <t>剧作角色id</t>
  </si>
  <si>
    <t>剧作角色名称</t>
  </si>
  <si>
    <t>套装描述</t>
  </si>
  <si>
    <t>关联道具id</t>
    <phoneticPr fontId="15" type="noConversion"/>
  </si>
  <si>
    <t>SuitName</t>
  </si>
  <si>
    <t>SuitPic</t>
  </si>
  <si>
    <t>ItemId</t>
    <phoneticPr fontId="15" type="noConversion"/>
  </si>
  <si>
    <t>关联Ispiration.Suit页签</t>
  </si>
  <si>
    <t>关联对应的显示开关</t>
    <phoneticPr fontId="15" type="noConversion"/>
  </si>
  <si>
    <t>帕丽莎公主套装</t>
  </si>
  <si>
    <t>UI/Sprite/Inspirationpicture/icon_e_3307_1</t>
  </si>
  <si>
    <t>At_In_Describe_1</t>
  </si>
  <si>
    <t>全世界都是我的，为什么偏偏搞不定一个朱利安？帕丽莎公主从生下来到现在，都还没有受到过这么大的委屈。为了报复那个捷足先登的野丫头，帕丽莎酝酿了一个绝妙的阴谋——不要说人家心狠手辣，人家对于看上的东西，就是无论如何都放不下啦，嘻嘻♪</t>
  </si>
  <si>
    <t>伊露妲套装</t>
  </si>
  <si>
    <t>UI/Sprite/Inspirationpicture/icon_e_3401_1</t>
  </si>
  <si>
    <t>At_In_Describe_2</t>
  </si>
  <si>
    <t>“绫罗法宝迷人眼，窃得倾城倾世名。”\n家喻户晓的女明星、商宙产品的唯一指定代言人伊露妲有一个秘密：从老板的言听计从、到舞台荧屏的风光无限，都仰仗于她的秘密武器“倾城愿”——那是一袭暗藏玄机的绫罗，任何人看到它，都会被摄人心魄的魅力吸引到她的石榴裙下。不过，伊露妲的野心可不止于此，商宙的新产品她统统做了手脚，无论是传递音画的信盘、窥见未来的星镜、还是代替身体的晶骨……人们对新的世代趋之若鹜，但谁也不知道，无数灵魂已如牵线木偶般握于伊露妲的手中。</t>
  </si>
  <si>
    <t>洛贝莉娅套装</t>
  </si>
  <si>
    <t>UI/Sprite/Inspirationpicture/icon_e_3404_1</t>
  </si>
  <si>
    <t>At_In_Describe_3</t>
  </si>
  <si>
    <t>对异国少女欧姬塔爱而不得的女巫，与神签订了爱之契约。然而天神捉弄了她们——女巫白天为人，夜晚变为黑天鹅，只有得到真爱才能解除两人诅咒。当欧姬塔拜托王子相救后，她便想借此机会证明这世界上只有她一人是真爱。她的人偶欧姬莉娅暴露了王子只是个以貌取人的蠢货，而她也用生命证明了自己对欧姬塔的真爱。最终，在欧姬塔的真心祈求下，天神复活了女巫，两人终成眷属。</t>
  </si>
  <si>
    <t>晓青套装</t>
  </si>
  <si>
    <t>UI/Sprite/Inspirationpicture/icon_e_3409_1</t>
  </si>
  <si>
    <t>At_In_Describe_4</t>
  </si>
  <si>
    <t>晓青十分敬仰她的姐姐白良芷，不仅自告奋勇地要当她的保镖，更是整天都把“我姐姐可不是好惹的！”挂在嘴边上。可是，自从姐姐跟上了许萱，晓青就开始单方面地争风吃醋起来……她经常想着捉弄许萱，可惜总是被智商压制。如果智商压制不住，一拿出药壶，晓青也就怂啦。</t>
  </si>
  <si>
    <t>妮娜套装</t>
  </si>
  <si>
    <t>UI/Sprite/Inspirationpicture/icon_e_3419_1</t>
  </si>
  <si>
    <t>At_In_Describe_5</t>
  </si>
  <si>
    <t>第一次来到繁华的奥斯法尔，却不能四处游览，真是太没劲啦。下榻使馆的当晚，小公主妮娜就一个人跑了出去。\n什么？大使馆火速派了个帅气的大姐姐来找自己？那不如……撒娇让她当导游，把城里好吃好玩儿的都逛个遍吧！毕竟，这种无拘无束的快乐，对于两人来说都很难得呢~</t>
  </si>
  <si>
    <t>安东尼套装</t>
  </si>
  <si>
    <t>UI/Sprite/Inspirationpicture/icon_e_3422_1</t>
  </si>
  <si>
    <t>At_In_Describe_6</t>
  </si>
  <si>
    <t>安东尼从没有清楚地想过，自己究竟是为什么而战的。当他还是个将军的时候，只要挥师征讨国王所指之处就好了。当他自己也成为一方霸主之后，只要除掉那些妨碍自己的人就好了。\n直到克丽奥帕恰坐着画舫前来，向他递上了温柔的一瞥。\n安东尼再也离不开此生的挚爱，他的剑从此听从着她的指挥——就这样，安东尼遭遇了此生最惨烈的一次败仗。但那又如何呢？只消她轻轻一吻，所有的懊悔就烟消云散了。</t>
  </si>
  <si>
    <t>欧姬莉娅套装</t>
    <phoneticPr fontId="15" type="noConversion"/>
  </si>
  <si>
    <t>UI/Sprite/Inspirationpicture/icon_e_3308_1</t>
    <phoneticPr fontId="15" type="noConversion"/>
  </si>
  <si>
    <t>At_In_Describe_7</t>
  </si>
  <si>
    <t>洛贝莉娅按照欧姬塔的形象创造出来的人偶，妖艳而优雅，但在魔女般的外表下，却是和洛贝莉娅一样有一颗真心。她的心追随着王子，从舞会追到林中，从悬崖跃入湖底，最终让他浪子回头，自己也获得了人的身份。</t>
  </si>
  <si>
    <t>洛伦佐神父套装</t>
  </si>
  <si>
    <t>UI/Sprite/Inspirationpicture/icon_e_3203_1</t>
  </si>
  <si>
    <t>At_In_Describe_8</t>
  </si>
  <si>
    <t>如果说世上只剩一个人还相信着爱，那一定是洛伦佐神父。也正是因此，当罗蜜雅去找神父主持婚礼时，神父仿佛看见了他期盼已久的黎明。他相信了他们的一见钟情，并祝福了他们。只是，黎明之前还有黑暗，罗蜜雅被放逐，朱利安又收到了公主的联姻命令。神父下定决心，誓要用他的智慧帮助她们赢得最终的幸福与和平。</t>
  </si>
  <si>
    <t>卡洛塔套装</t>
  </si>
  <si>
    <t>UI/Sprite/Inspirationpicture/icon_e_3305_1</t>
  </si>
  <si>
    <t>At_In_Describe_9</t>
  </si>
  <si>
    <t>卡洛塔是歌剧院的王牌，无数人为了一睹她的风采来此处一掷千金，而他们也知道这位王牌名副其实。卡洛塔不仅严于律己，精进技艺，对于其他演员也是一样——尤其是对克里斯这种刚进剧院不久的新人。\n在最近的一次演出中，卡洛塔发现克里斯的唱功和演技简直与之前判若两人，甚至隐隐有和自己争夺歌剧院王牌的苗头。这激起了卡洛塔的好胜心，因为她随时欢迎各路好手！</t>
  </si>
  <si>
    <t>灰狼王套装</t>
  </si>
  <si>
    <t>UI/Sprite/Inspirationpicture/icon_e_3410_1</t>
  </si>
  <si>
    <t>At_In_Describe_10</t>
  </si>
  <si>
    <t>对于大灰狼来说，过去那场败仗可谓焉知非福。接受了改造而死里逃生的他，不仅获得了机械的身躯、变身的能力，更是拥有了媲美人类的智能，走上了灰狼王的位置。但是眼下，要解决眼前的威胁，也许必须要寻求人类科技的帮助了。为了族群，他决定去见见小红帽——只要事成之后，把这个次要威胁一起肃清就行了。</t>
  </si>
  <si>
    <t>荷露丝套装</t>
  </si>
  <si>
    <t>UI/Sprite/Inspirationpicture/icon_e_3301_1</t>
  </si>
  <si>
    <t>At_In_Describe_11</t>
  </si>
  <si>
    <t>温柔坚定、机智勇敢的小女王，凭借自己的智谋和决心，带领民众推翻了塞缇的邪恶统治，又在正面对决中打败塞缇取回了王位，使整个国度重新走向繁荣和兴旺。有歌为证：\n荷露丝是太阳的女儿，是长空的雏鹰，是遥遥的歌声，是爱的代名词。\n荷露丝是我们年轻的王，是守望的眼睛，是秩序，是法理，是不息的繁荣。\n祂有一日必将放歌召集祂的鹰隼，而胜利将被一并带回我们的圣土。</t>
  </si>
  <si>
    <t>铁米套装</t>
  </si>
  <si>
    <t>UI/Sprite/Inspirationpicture/icon_e_3304_1</t>
  </si>
  <si>
    <t>At_In_Describe_12</t>
  </si>
  <si>
    <t>只会砍树的小矮人铁米被族人欺凌，只好带着自己心爱的小斧子独自离开部族生活。某天，铁米在砍树的时候被绊倒，很久没上油的铁皮盔甲被困在了藤蔓中间，铁米动弹不得。在等待路过的好心人时，她似乎睡着了。迷迷糊糊间，一位名叫多露西的姑娘将她救了出来。听说了她要去找大魔法师，铁米决定同行，去向大魔法师讨要一颗坚强的内心！</t>
  </si>
  <si>
    <t>公孙荝套装</t>
  </si>
  <si>
    <t>UI/Sprite/Inspirationpicture/icon_e_3411_1</t>
  </si>
  <si>
    <t>At_In_Describe_13</t>
  </si>
  <si>
    <t>三年前，名动京都的才女公孙荝最后一次出现在公共视野中时，是在怒斥某个上流权贵的儿子“蠢货毫无价值”。如今，众人茶余饭后再次聊起关于她的故事，大概都是某著名侦探团的光辉事迹了。\n据知情人爆料，她现在仍像当年一样，时常戴着眼镜神情淡漠，安安静静地拿着厚厚的书站在包姃身后，说着”莽夫毫无价值”。（知情人表示该言论不针对任何人）</t>
  </si>
  <si>
    <t>梅菲王子套装</t>
  </si>
  <si>
    <t>UI/Sprite/Inspirationpicture/icon_e_3423_1</t>
  </si>
  <si>
    <t>At_In_Describe_14</t>
  </si>
  <si>
    <t>小国出身、在外历练的梅菲王子虽然也算是一名勇者，但是对他来说，屠杀恶魔实在过于危险，救公主也没有什么吸引力，最让他在意的还是……宝藏！\n因此，当国王召见他时，他满脑子只顾着讨价还价。等到宫廷魔女将他送入睡美人的梦境，梅菲王子才一拍脑袋：国王派我到这里干什么来着？——不管了，这里五光十色、蔚为壮观，那就开始寻宝吧！</t>
  </si>
  <si>
    <t>克里斯套装</t>
  </si>
  <si>
    <t>UI/Sprite/Inspirationpicture/icon_e_3502_1</t>
  </si>
  <si>
    <t>At_In_Describe_15</t>
  </si>
  <si>
    <t>克里斯梦想着成为万人仰慕的舞台焦点，再打败那个总对自己冷嘲热讽的剧院王牌卡洛塔小姐，最好让她对自己俯首称臣才好，只不过克里斯力有不逮。\n直到有一天，他误闯入歌剧院的地下，在湖边邂逅了自称“影”的神秘少女。少女倾囊相授，却没想到克里斯的野心也会日渐膨胀——“影”的青睐，劳拉小姐的芳心，歌剧院王牌的地位，他都要收入囊中！</t>
  </si>
  <si>
    <t>绯太子套装</t>
  </si>
  <si>
    <t>UI/Sprite/Inspirationpicture/icon_e_3504_1</t>
  </si>
  <si>
    <t>At_In_Describe_16</t>
  </si>
  <si>
    <t>“心系四海悲民愿，脚踏风火战无双。”\n要问为什么西舟能抛弃商宙的科技使用自己独创的设备，那就得全部归功于西舟最强工程师绯太子；而她一旦乘上了她的独门装备——K13泛用式黯晶能源驱动双臂机车“风火轮”，就能摇身变为西舟最强打手。传说商宙和西舟的第一次正面冲突就是因她而起：当时她去商宙旗下的商场“东海龙宫”里闲逛，却被积怨在心的财团找了茬。那一日，盛怒的绯太子一人单挑了全商场的武装并全身而退，也凭此战为自己和整个西舟打出了威名。</t>
  </si>
  <si>
    <t>芮德套装</t>
  </si>
  <si>
    <t>UI/Sprite/Inspirationpicture/icon_e_3513_1</t>
  </si>
  <si>
    <t>At_In_Describe_17</t>
  </si>
  <si>
    <t>多年前狼口逃生后，小红帽师从猎人，长成了一名勇猛矫健的战士。正是依靠着这身本领，她才在浩劫中得以幸存。但令她始料未及的是，当年的那匹灰狼也以另一种面目在废土与她相遇了，还带来了一个交易。“合作？倒也行。你去引它，我来狙击。——不过，我劝你少耍花招，毕竟我也不是当年那个小女孩了。”</t>
  </si>
  <si>
    <t>白良芷套装</t>
  </si>
  <si>
    <t>UI/Sprite/Inspirationpicture/icon_e_3517_1</t>
  </si>
  <si>
    <t>At_In_Describe_18</t>
  </si>
  <si>
    <t>吃货白良芷一直过着逍（惹）遥（事）自（生）在（非）的日子，直到那天在断桥附近觅食时，邂逅了卖药的许萱。见许萱的身上散发着奇异的药香，白良芷心里痒痒的，想弄清楚他身上到底装了什么好吃的。“可爱的小兔子，你锅里熬的是什么呀？能不能给我尝一口？”白良芷紧紧地跟住了许萱。</t>
  </si>
  <si>
    <t>梅琳套装</t>
  </si>
  <si>
    <t>UI/Sprite/Inspirationpicture/icon_e_3519_1</t>
  </si>
  <si>
    <t>At_In_Describe_19</t>
  </si>
  <si>
    <t>这个世界还会好吗？大概是不会了吧。少女梅琳蹙着眉头，一边思考今天吃哪种口味的午餐肉罐头，一边指挥一堆忙碌的小机器人。\n将自己的ID伪装成机甲造物，再黑掉一些个体用来使唤，虽然这样的日子没有希望，但至少活得还不赖……直到亚瑟琳随着一声巨响，摔入了她藏身的废墟之中。\n“喂，帮帮忙，陪我杀出重围吧！”\n那一日，躲在阴暗的机甲世界里浑浑噩噩度日的少女黑客梅琳，得到了救赎。</t>
  </si>
  <si>
    <t>多露西套装</t>
  </si>
  <si>
    <t>UI/Sprite/Inspirationpicture/icon_e_3509_1</t>
  </si>
  <si>
    <t>At_In_Describe_20</t>
  </si>
  <si>
    <t>佩加国的公主多露西在睡梦中被一阵神秘的龙卷风连人带床卷入了一个奇幻世界。为了能够回家，多露西勤勤恳恳学习这个世界的魔法，在练习中竟阴差阳错打败了一位邪恶女巫。为了感恩，当地的居民告诉她大魔法师奥莉丝或许可以帮助她回家。于是乎多露西开始了新的旅途，还在路上先后结识了稻草人、铁皮人和狮子，四个人一同寻找奥莉丝实现自己的愿望。</t>
  </si>
  <si>
    <t>罗蜜雅套装</t>
  </si>
  <si>
    <t>UI/Sprite/Inspirationpicture/icon_e_3512_1</t>
  </si>
  <si>
    <t>At_In_Describe_21</t>
  </si>
  <si>
    <t>罗蜜雅虽然生得娇小，却是一朵勇敢的玫瑰。爱上仇家的公子，她敢放弃自己的家族；受到情敌的羞辱，她敢替捍卫她的朋友报仇。这朵勇敢的玫瑰，无论是抛弃了名字，还是遭到放逐，她的芬芳都未曾改变。然而，等待她的下一个考验，竟然是朱利安的死讯？</t>
  </si>
  <si>
    <t>肥鸟嘟嘟套装</t>
  </si>
  <si>
    <t>UI/Sprite/Inspirationpicture/icon_e_3520_1</t>
  </si>
  <si>
    <t>At_In_Describe_22</t>
  </si>
  <si>
    <t>嘟嘟是高天杂技团的小丑，因为她翅膀又短又胖飞不起来，被大家取笑为“肥鸟嘟嘟”。可是，嘟嘟也梦想着能表演空中特技、赢得观众们的掌声。后来，魔术师布罗菲为她制造了一双神奇的翅膀，嘟嘟终于有了实现梦想的机会……</t>
  </si>
  <si>
    <t>包姃套装</t>
  </si>
  <si>
    <t>UI/Sprite/Inspirationpicture/icon_e_3508_1</t>
  </si>
  <si>
    <t>欧姬塔套装</t>
  </si>
  <si>
    <t>UI/Sprite/Inspirationpicture/icon_e_3516_1</t>
  </si>
  <si>
    <t>At_In_Describe_24</t>
  </si>
  <si>
    <t>被困在了女巫森林中的异国少女，白天是天鹅，晚上变回人形。直到有一天，王子齐格弗里德在森林中偶遇了她，答应娶她解除诅咒。然而在女巫洛贝莉娅的设计下，她发现了王子对自己并无真心。欧姬塔投湖自尽，洛贝莉娅以命相救，最终在天神的见证下，欧姬塔与女巫一同成为了森林的守护者。</t>
  </si>
  <si>
    <t>福尔萌斯套装</t>
  </si>
  <si>
    <t>UI/Sprite/Inspirationpicture/icon_e_3511_1</t>
  </si>
  <si>
    <t>At_In_Describe_25</t>
  </si>
  <si>
    <t>大侦探福尔萌斯的招牌技巧有三个：张口就来法，指侦探工作开始之前就自信满满地大声宣布罪犯是谁，起到威慑全场的作用。脑洞演绎法，指一本正经地胡说八道，以求误打误撞接近真相。召唤后援法，指实在编不出来的时候，只好把证据拿去华尔的实验室，给她卖个萌撒个娇，之后的事情华尔会搞定的！</t>
  </si>
  <si>
    <t>海魔女套装</t>
  </si>
  <si>
    <t>UI/Sprite/Inspirationpicture/icon_e_3524_1</t>
  </si>
  <si>
    <t>At_In_Describe_26</t>
  </si>
  <si>
    <t>“我眷恋她唱出的每一句诗行，生活中逐渐充满了喜悦和忧伤。”</t>
  </si>
  <si>
    <t>花木兰套装</t>
  </si>
  <si>
    <t>UI/Sprite/Inspirationpicture/icon_e_3526_1</t>
  </si>
  <si>
    <t>At_In_Describe_27</t>
  </si>
  <si>
    <t>花木兰和其他小家碧玉最不同的地方，大概是她继承了北方民族的那份纯朴和勇敢。她自幼熟悉骑射、通读兵书，颇具天赋，只是一心钻研武学过于投入，让她反而缺少一些其它的常识，平日里显得有些呆萌？\n虽然成功进入了部队，但身边的士兵多多少少都察觉出哪里不太对头：木兰总是和衣而睡，不肯下河洗澡，对于士兵之间喝酒划拳等等惯常的娱乐一概不知，反倒懂得不少女儿家的事情……只是暂时还没人说破罢了。木兰！今天也要努力找借口糊弄过去啊！</t>
  </si>
  <si>
    <t>天镜小神厨套装</t>
  </si>
  <si>
    <t>UI/Sprite/Inspirationpicture/icon_e_3531_1</t>
  </si>
  <si>
    <t>At_In_Describe_28</t>
  </si>
  <si>
    <t>小神厨出身贫寒，命如草芥，唯有一颗对美食绝对热忱的心伴她行走江湖。\n最好的菜肴不是山珍海味，无需价抵千金，需要的是牢记食客的好恶，掌握每一种食材的精妙之处，再加上厨师的拳拳爱心。\n她始终相信，凭着这一腔赤诚，偌大的天镜城终会有她的一席之地……</t>
  </si>
  <si>
    <t>玛丽芙森套装</t>
  </si>
  <si>
    <t>UI/Sprite/Inspirationpicture/icon_e_3529_1</t>
  </si>
  <si>
    <t>At_In_Describe_29</t>
  </si>
  <si>
    <t>“这些事情我只教一遍，下次还不会就自己想办法。”\n玛丽芙森和其他好脾气的宫廷女巫不一样，在小公主这样的孩子眼中，她是坏女人、大BOSS，总是板着张脸，我行我素，好像随时要让人吃点苦头。不过万一遇上了什么麻烦，去找玛丽芙森老师一定是最可靠的——当然也是最后的选择。\n或许只有很久以后，等小公主长大了，才会明白玛丽芙森的通情达理和学识渊博，并感谢她当年严格的教导吧。</t>
  </si>
  <si>
    <t>Star</t>
  </si>
  <si>
    <t>升1星（激活）</t>
  </si>
  <si>
    <t>ForceName</t>
    <phoneticPr fontId="15" type="noConversion"/>
  </si>
  <si>
    <t>Key_ForceName</t>
    <phoneticPr fontId="15" type="noConversion"/>
  </si>
  <si>
    <t>[int=int]</t>
  </si>
  <si>
    <t>同舟旅行</t>
    <phoneticPr fontId="15" type="noConversion"/>
  </si>
  <si>
    <t>21|38|27|56|24</t>
    <phoneticPr fontId="15" type="noConversion"/>
  </si>
  <si>
    <t>-140=-55</t>
    <phoneticPr fontId="15" type="noConversion"/>
  </si>
  <si>
    <t>角色图鉴</t>
    <phoneticPr fontId="15" type="noConversion"/>
  </si>
  <si>
    <t>品质</t>
    <phoneticPr fontId="15" type="noConversion"/>
  </si>
  <si>
    <t>属性</t>
    <phoneticPr fontId="15" type="noConversion"/>
  </si>
  <si>
    <t>SSR</t>
  </si>
  <si>
    <t>属性占比</t>
    <phoneticPr fontId="15" type="noConversion"/>
  </si>
  <si>
    <t>SR</t>
  </si>
  <si>
    <t>R</t>
  </si>
  <si>
    <t>SSR</t>
    <phoneticPr fontId="15" type="noConversion"/>
  </si>
  <si>
    <t>生命</t>
  </si>
  <si>
    <t>攻击</t>
  </si>
  <si>
    <t>物防</t>
  </si>
  <si>
    <t>法防</t>
  </si>
  <si>
    <t>SR</t>
    <phoneticPr fontId="15" type="noConversion"/>
  </si>
  <si>
    <t>R</t>
    <phoneticPr fontId="15" type="noConversion"/>
  </si>
  <si>
    <t>单势力</t>
  </si>
  <si>
    <t>属性占比</t>
  </si>
  <si>
    <t>剧作星级</t>
  </si>
  <si>
    <t>伶歌</t>
  </si>
  <si>
    <t>黄金沙滩</t>
  </si>
  <si>
    <t>盛夏天国</t>
  </si>
  <si>
    <t>品味</t>
  </si>
  <si>
    <t>美之危机</t>
  </si>
  <si>
    <t>青涩</t>
  </si>
  <si>
    <t>美学理念</t>
  </si>
  <si>
    <t>合谋</t>
  </si>
  <si>
    <t>追击</t>
  </si>
  <si>
    <t>含苞</t>
  </si>
  <si>
    <t>初绽</t>
  </si>
  <si>
    <t>盛放</t>
  </si>
  <si>
    <t>成熟</t>
  </si>
  <si>
    <t>高潮时刻</t>
  </si>
  <si>
    <t>不满</t>
  </si>
  <si>
    <t>复苏</t>
  </si>
  <si>
    <t>梦洄侵染</t>
  </si>
  <si>
    <t>她的愿望</t>
  </si>
  <si>
    <t>火山奇遇</t>
  </si>
  <si>
    <t>心理战</t>
  </si>
  <si>
    <t>“自信”的蓝宝石</t>
  </si>
  <si>
    <t>不靠谱的藏宝图</t>
  </si>
  <si>
    <t>荷尔施泰因公爵</t>
  </si>
  <si>
    <t>不安弥散</t>
  </si>
  <si>
    <t>他们的嘱托</t>
  </si>
  <si>
    <t>红色蝴蝶结</t>
  </si>
  <si>
    <t>冒失鬼</t>
  </si>
  <si>
    <t>最后的游戏</t>
  </si>
  <si>
    <t>花环</t>
  </si>
  <si>
    <t>乏困</t>
  </si>
  <si>
    <t>拦截</t>
  </si>
  <si>
    <t>请继续</t>
  </si>
  <si>
    <t>她意已决</t>
  </si>
  <si>
    <t>逃避可耻但有用</t>
  </si>
  <si>
    <t>代为管教</t>
  </si>
  <si>
    <t>“爱“的红宝石</t>
  </si>
  <si>
    <t>勇往直前</t>
  </si>
  <si>
    <t>1-动画
2-插图
3-AVG</t>
    <phoneticPr fontId="15" type="noConversion"/>
  </si>
  <si>
    <t>3=32,5=32</t>
  </si>
  <si>
    <t>3=50,5=50</t>
  </si>
  <si>
    <t>3=70,5=70</t>
  </si>
  <si>
    <t>3=90,5=90</t>
  </si>
  <si>
    <t>3=24,5=24</t>
  </si>
  <si>
    <t>3=40,5=40</t>
  </si>
  <si>
    <t>3=75,5=75</t>
  </si>
  <si>
    <t>为了充分发挥团长为星选者开启乐园之扉的能力，在艾瓦格联盟高层的授意下，建立了专供乐园战斗的别动队艾娑。除了固定的三名队员之外，每次任务还会与适配程度高的剧团成员、艾瓦格骑士们共同行动。</t>
  </si>
  <si>
    <t>绮想工造原是数百年前身怀绝技的12名工匠组成的工匠协会。虽然近年来再无人能复制传说中的神技，但有一技之长的人还是以加入其中为荣，所以剧团中心灵手巧的专业生产者们，选择了将这个名号。</t>
  </si>
  <si>
    <t>不羁之心是个活着的传说，它其实从来都没有过建制，但它是那些厌恶结社教条的年轻人们的精神旗帜，只要拥有反抗精神就能声称自己属于不羁之心。在剧团内，曾为不羁之心一员的人团结在一起，建立了这个小组。</t>
  </si>
  <si>
    <t>该小组由在剧团内担任演出职务的人员构成，他们大多能歌善舞，是剧团舞台上的中流砥柱，不论是华丽的戏剧还是灵动的舞姿，他们信手拈来，为歌斐尔剧团声名远扬的未来打下坚实的基础。</t>
  </si>
  <si>
    <t>该小组由来自各地、各种族的音乐家们组建，为剧团的每一场演出贡献着高质量的原创音乐。他们创造的音乐回荡在歌斐尔之舟的各处，不止能给观众们带来美的享受，也能给敌人带来毁灭。</t>
  </si>
  <si>
    <t>在遭受极端的迫害后，一些星选者们建立秘密组织来对抗晶芒结社，进行复仇。这些星选者自称“游魂”，该组织行事诡秘，手段狠辣，等级森严，进行过几起暗杀地区主教的活动，甚至暗中谋划过暗杀结社总部的教皇。</t>
  </si>
  <si>
    <t>这是由叛离结社的前教徒们组成的小组，大多数人都与结社有过刻骨铭心的仇恨。现在他们想要在歌斐尔剧团寻找自己的机会，或报仇、或重生，但切记——“十三”是背叛者的象征。</t>
  </si>
  <si>
    <t>这是被老团长“请”来剧团前，作为一匹孤狼浪迹天涯的星选者们建立的小组。严格来说苍原行者并非一个组织，而是进入剧团后以出身进行的划分。这些人大多身怀异能，或本身就是异族，确保能在恶劣的环境中生存。</t>
  </si>
  <si>
    <t>混血精灵雪璐创办的小组，秉承着一起开心喝下午茶的目标，却对组员限定了严格的身高要求。该组织虽然顶着甜蜜的名字，内在却相当"疯狂"。不论是小恶魔还是小笨蛋，撒谎精还是暴力狂，都能在这里获得一席之地。</t>
  </si>
  <si>
    <t>在被依露希尔女神赐予庞大的力量之后，东方的龙族遵守着古老的戒律，绝不主动干涉人间事务。但古老的戒律只能平衡天灾，人祸却需要新的应对方式，所以由龙族发起，名为“胧”的代行者组织日益壮大。</t>
  </si>
  <si>
    <t>一些不信任晶芒结社和对“伊甸乐园”抱有怀疑的人从帝国骑士团分离出来，组成了正面对抗教团的武装力量。艾瓦格联盟不但协助了歌斐尔剧团的建立，时至今日，他们依然在大力支持着剧团在乐园内与结社的对抗战斗。</t>
  </si>
  <si>
    <t>艾瓦格联盟下属的科研与后勤小组统称，作为联盟对歌斐尔剧团的支援力量和沟通桥梁，驻扎飞空艇上。剧团成员的灿晶武器都是他们进行提供和改造维护的，同时他们还负责给剧团提供来自联盟的物资和后勤服务。</t>
  </si>
  <si>
    <t>剧团暂未收录该组织信息。</t>
    <phoneticPr fontId="15" type="noConversion"/>
  </si>
  <si>
    <t>55|20|26|5</t>
    <phoneticPr fontId="15" type="noConversion"/>
  </si>
  <si>
    <t>-100=-220,-400=-70,250=80,-180=160</t>
  </si>
  <si>
    <t>-100=-160,310=37,-580=-13,-400=70,10=180</t>
  </si>
  <si>
    <t>-440=-100,85=-130,10=150,-450=215</t>
    <phoneticPr fontId="15" type="noConversion"/>
  </si>
  <si>
    <t>受阻</t>
    <phoneticPr fontId="15" type="noConversion"/>
  </si>
  <si>
    <t>寻宝游戏</t>
  </si>
  <si>
    <t>At_Te_ForceName_1</t>
  </si>
  <si>
    <t>At_Te_Describe_1</t>
  </si>
  <si>
    <t>At_Te_ForceName_2</t>
  </si>
  <si>
    <t>At_Te_Describe_2</t>
  </si>
  <si>
    <t>At_Te_ForceName_3</t>
  </si>
  <si>
    <t>At_Te_Describe_3</t>
  </si>
  <si>
    <t>At_Te_ForceName_4</t>
  </si>
  <si>
    <t>At_Te_Describe_4</t>
  </si>
  <si>
    <t>At_Te_ForceName_5</t>
  </si>
  <si>
    <t>At_Te_Describe_5</t>
  </si>
  <si>
    <t>At_Te_ForceName_6</t>
  </si>
  <si>
    <t>At_Te_Describe_6</t>
  </si>
  <si>
    <t>At_Te_ForceName_7</t>
  </si>
  <si>
    <t>At_Te_Describe_7</t>
  </si>
  <si>
    <t>At_Te_ForceName_8</t>
  </si>
  <si>
    <t>At_Te_Describe_8</t>
  </si>
  <si>
    <t>At_Te_ForceName_9</t>
  </si>
  <si>
    <t>At_Te_Describe_9</t>
  </si>
  <si>
    <t>At_Te_ForceName_10</t>
  </si>
  <si>
    <t>At_Te_Describe_10</t>
  </si>
  <si>
    <t>At_Te_ForceName_11</t>
  </si>
  <si>
    <t>At_Te_Describe_11</t>
  </si>
  <si>
    <t>At_Te_ForceName_12</t>
  </si>
  <si>
    <t>At_Te_Describe_12</t>
  </si>
  <si>
    <t>At_Te_ForceName_13</t>
  </si>
  <si>
    <t>At_Te_Describe_13</t>
  </si>
  <si>
    <t>At_An_Name_4</t>
  </si>
  <si>
    <t>初绽的晶芒</t>
    <phoneticPr fontId="15" type="noConversion"/>
  </si>
  <si>
    <t>墨丘利商会</t>
  </si>
  <si>
    <t>At_Te_Describe_14</t>
  </si>
  <si>
    <t>At_Te_ForceName_14</t>
  </si>
  <si>
    <t>At_Te_ForceName_15</t>
  </si>
  <si>
    <t>异星来客</t>
    <phoneticPr fontId="15" type="noConversion"/>
  </si>
  <si>
    <t>At_Te_Describe_15</t>
  </si>
  <si>
    <t>有酒有肉有朋友，就是江湖，酸甜苦辣尝一遍，便为人生。百味帮不问来处，酒水温时碰个碗，便是过了命的交情。</t>
  </si>
  <si>
    <t>结社越来越频繁的“乐园降临”活动让依露希尔世界的魔力场越来越不稳定，甚至引发了数次时空乱流，异世界的客人们穿过裂隙，坠落到依露希尔世界，去联结他们吧，他们一定会成为我们不容小觑的战力！</t>
  </si>
  <si>
    <t>At_Mo_Describe_8</t>
  </si>
  <si>
    <t>At_Mo_Describe_79</t>
  </si>
  <si>
    <t>At_Vo_Describe_6</t>
  </si>
  <si>
    <t>At_Vo_Describe_9</t>
  </si>
  <si>
    <t>At_Vo_Describe_10</t>
  </si>
  <si>
    <t>At_An_Name_1</t>
  </si>
  <si>
    <t>At_An_Name_7</t>
  </si>
  <si>
    <t>使命</t>
  </si>
  <si>
    <t>At_An_Name_6</t>
    <phoneticPr fontId="15" type="noConversion"/>
  </si>
  <si>
    <t>启程</t>
    <phoneticPr fontId="15" type="noConversion"/>
  </si>
  <si>
    <t>At_An_Name_12</t>
    <phoneticPr fontId="15" type="noConversion"/>
  </si>
  <si>
    <t>重整旗鼓</t>
    <phoneticPr fontId="15" type="noConversion"/>
  </si>
  <si>
    <t>52|53</t>
    <phoneticPr fontId="15" type="noConversion"/>
  </si>
  <si>
    <t>75=-165,-405=80</t>
    <phoneticPr fontId="15" type="noConversion"/>
  </si>
  <si>
    <t>自我挑战</t>
  </si>
  <si>
    <t>漫长的告别</t>
  </si>
  <si>
    <t>噩梦来袭</t>
  </si>
  <si>
    <t>“勇气”的黄宝石</t>
  </si>
  <si>
    <t>眠龙勿扰</t>
  </si>
  <si>
    <t xml:space="preserve">主线章节=章节+序号
活动章节=1+活动次数（两位）+序号
</t>
    <phoneticPr fontId="15" type="noConversion"/>
  </si>
  <si>
    <t>类型1：类型1填写storyconfig.storyComment页签流水id</t>
    <phoneticPr fontId="15" type="noConversion"/>
  </si>
  <si>
    <t>起始的传说</t>
  </si>
  <si>
    <t>At_An_Name_201</t>
  </si>
  <si>
    <t>At_An_Name_202</t>
  </si>
  <si>
    <t>At_An_Name_203</t>
  </si>
  <si>
    <t>At_An_Name_204</t>
  </si>
  <si>
    <t>At_An_Name_205</t>
  </si>
  <si>
    <t>At_An_Name_301</t>
  </si>
  <si>
    <t>At_An_Name_302</t>
  </si>
  <si>
    <t>At_An_Name_303</t>
  </si>
  <si>
    <t>At_An_Name_304</t>
  </si>
  <si>
    <t>At_An_Name_305</t>
  </si>
  <si>
    <t>At_An_Name_401</t>
  </si>
  <si>
    <t>At_An_Name_402</t>
  </si>
  <si>
    <t>At_An_Name_403</t>
  </si>
  <si>
    <t>At_An_Name_404</t>
  </si>
  <si>
    <t>At_An_Name_405</t>
  </si>
  <si>
    <t>At_An_Name_406</t>
  </si>
  <si>
    <t>At_An_Name_501</t>
  </si>
  <si>
    <t>At_An_Name_502</t>
  </si>
  <si>
    <t>At_An_Name_601</t>
  </si>
  <si>
    <t>At_An_Name_602</t>
  </si>
  <si>
    <t>At_An_Name_603</t>
  </si>
  <si>
    <t>At_An_Name_604</t>
  </si>
  <si>
    <t>At_An_Name_605</t>
  </si>
  <si>
    <t>At_An_Name_606</t>
  </si>
  <si>
    <t>At_An_Name_607</t>
  </si>
  <si>
    <t>At_An_Name_608</t>
  </si>
  <si>
    <t>At_An_Name_701</t>
  </si>
  <si>
    <t>At_An_Name_702</t>
  </si>
  <si>
    <t>At_An_Name_703</t>
  </si>
  <si>
    <t>At_An_Name_704</t>
  </si>
  <si>
    <t>At_An_Name_801</t>
  </si>
  <si>
    <t>At_An_Name_802</t>
  </si>
  <si>
    <t>At_An_Name_803</t>
  </si>
  <si>
    <t>At_An_Name_901</t>
  </si>
  <si>
    <t>At_An_Name_902</t>
  </si>
  <si>
    <t>At_An_Name_903</t>
  </si>
  <si>
    <t>At_An_Name_904</t>
  </si>
  <si>
    <t>At_An_Name_905</t>
  </si>
  <si>
    <t>At_An_Name_906</t>
  </si>
  <si>
    <t>At_An_Name_907</t>
  </si>
  <si>
    <t>At_An_Name_1001</t>
  </si>
  <si>
    <t>At_An_Name_1002</t>
  </si>
  <si>
    <t>At_An_Name_1101</t>
  </si>
  <si>
    <t>At_An_Name_1102</t>
  </si>
  <si>
    <t>At_An_Name_1103</t>
  </si>
  <si>
    <t>At_An_Name_1104</t>
  </si>
  <si>
    <t>At_An_Name_1105</t>
  </si>
  <si>
    <t>At_An_Name_1201</t>
  </si>
  <si>
    <t>At_An_Name_1202</t>
  </si>
  <si>
    <t>At_An_Name_1203</t>
  </si>
  <si>
    <t>At_An_Name_1204</t>
  </si>
  <si>
    <t>At_An_Name_1205</t>
  </si>
  <si>
    <t>At_An_Name_1206</t>
  </si>
  <si>
    <t>At_An_Name_1207</t>
  </si>
  <si>
    <t>At_An_Name_1208</t>
  </si>
  <si>
    <t>At_An_Name_1401</t>
  </si>
  <si>
    <t>At_An_Name_1402</t>
  </si>
  <si>
    <t>At_An_Name_1501</t>
  </si>
  <si>
    <t>At_An_Name_1601</t>
  </si>
  <si>
    <t>At_An_Name_1602</t>
  </si>
  <si>
    <t>At_An_Name_1603</t>
  </si>
  <si>
    <t>At_An_Name_1604</t>
  </si>
  <si>
    <t>At_An_Name_1605</t>
  </si>
  <si>
    <t>At_An_Name_1606</t>
  </si>
  <si>
    <t>At_An_Name_1607</t>
  </si>
  <si>
    <t>At_An_Name_1701</t>
  </si>
  <si>
    <t>At_An_Name_1702</t>
  </si>
  <si>
    <t>At_An_Name_1703</t>
  </si>
  <si>
    <t>At_An_Name_1704</t>
  </si>
  <si>
    <t>At_An_Name_1705</t>
  </si>
  <si>
    <t>At_An_Name_1706</t>
  </si>
  <si>
    <t>At_An_Name_1707</t>
  </si>
  <si>
    <t>At_An_Name_1801</t>
  </si>
  <si>
    <t>At_An_Name_1802</t>
  </si>
  <si>
    <t>At_An_Name_1803</t>
  </si>
  <si>
    <t>At_An_Name_1804</t>
  </si>
  <si>
    <t>At_An_Name_1805</t>
  </si>
  <si>
    <t>At_An_Name_1806</t>
  </si>
  <si>
    <t>At_An_Name_1901</t>
  </si>
  <si>
    <t>At_An_Name_1902</t>
  </si>
  <si>
    <t>At_An_Name_1903</t>
  </si>
  <si>
    <t>At_An_Name_1904</t>
  </si>
  <si>
    <t>At_An_Name_1905</t>
  </si>
  <si>
    <t>At_An_Name_1906</t>
  </si>
  <si>
    <t>At_An_Name_1907</t>
  </si>
  <si>
    <t>At_An_Name_2001</t>
  </si>
  <si>
    <t>At_An_Name_2002</t>
  </si>
  <si>
    <t>At_An_Name_2003</t>
  </si>
  <si>
    <t>At_An_Name_2004</t>
  </si>
  <si>
    <t>At_An_Name_2005</t>
  </si>
  <si>
    <t>At_An_Name_2006</t>
  </si>
  <si>
    <t>At_An_Name_2101</t>
  </si>
  <si>
    <t>At_An_Name_2102</t>
  </si>
  <si>
    <t>At_An_Name_2103</t>
  </si>
  <si>
    <t>At_An_Name_2104</t>
  </si>
  <si>
    <t>At_An_Name_2105</t>
  </si>
  <si>
    <t>At_An_Name_2106</t>
  </si>
  <si>
    <t>At_An_Name_2107</t>
  </si>
  <si>
    <t>At_An_Name_2108</t>
  </si>
  <si>
    <t>At_An_Name_2109</t>
  </si>
  <si>
    <t>At_An_Name_2110</t>
  </si>
  <si>
    <t>At_An_Name_2111</t>
  </si>
  <si>
    <t>At_An_Name_2112</t>
  </si>
  <si>
    <t>At_An_Name_2201</t>
  </si>
  <si>
    <t>At_An_Name_2401</t>
  </si>
  <si>
    <t>At_An_Name_2501</t>
  </si>
  <si>
    <t>At_An_Name_2502</t>
  </si>
  <si>
    <t>At_An_Name_2503</t>
  </si>
  <si>
    <t>At_An_Name_2601</t>
  </si>
  <si>
    <t>At_An_Name_2602</t>
  </si>
  <si>
    <t>At_An_Name_2603</t>
  </si>
  <si>
    <t>At_An_Name_2701</t>
  </si>
  <si>
    <t>At_An_Name_2702</t>
  </si>
  <si>
    <t>At_An_Name_2801</t>
  </si>
  <si>
    <t>At_An_Name_2802</t>
  </si>
  <si>
    <t>At_An_Name_2803</t>
  </si>
  <si>
    <t>At_An_Name_2901</t>
  </si>
  <si>
    <t>At_An_Name_2902</t>
  </si>
  <si>
    <t>At_An_Name_2903</t>
  </si>
  <si>
    <t>At_An_Name_3001</t>
  </si>
  <si>
    <t>At_An_Name_3002</t>
  </si>
  <si>
    <t>At_An_Name_3003</t>
  </si>
  <si>
    <t>At_An_Name_3101</t>
  </si>
  <si>
    <t>At_An_Name_3102</t>
  </si>
  <si>
    <t>At_An_Name_3103</t>
  </si>
  <si>
    <t>At_An_Name_3201</t>
  </si>
  <si>
    <t>At_An_Name_3202</t>
  </si>
  <si>
    <t>At_An_Name_3203</t>
  </si>
  <si>
    <t>At_An_Name_3301</t>
  </si>
  <si>
    <t>At_An_Name_3302</t>
  </si>
  <si>
    <t>At_An_Name_3303</t>
  </si>
  <si>
    <t>At_An_Name_3401</t>
  </si>
  <si>
    <t>At_An_Name_3402</t>
  </si>
  <si>
    <t>At_An_Name_3501</t>
  </si>
  <si>
    <t>At_An_Name_3502</t>
  </si>
  <si>
    <t>At_An_Name_3503</t>
  </si>
  <si>
    <t>At_An_Name_3504</t>
  </si>
  <si>
    <t>At_An_Name_10101</t>
  </si>
  <si>
    <t>At_An_Name_10102</t>
  </si>
  <si>
    <t>At_An_Name_10103</t>
  </si>
  <si>
    <t>At_An_Name_10104</t>
  </si>
  <si>
    <t>At_An_Name_10105</t>
  </si>
  <si>
    <t>At_An_Name_10106</t>
  </si>
  <si>
    <t>At_An_Name_10107</t>
  </si>
  <si>
    <t>At_An_Name_10108</t>
  </si>
  <si>
    <t>At_An_Name_10109</t>
  </si>
  <si>
    <t>At_An_Name_10110</t>
  </si>
  <si>
    <t>At_An_Name_10111</t>
  </si>
  <si>
    <t>At_An_Name_10112</t>
  </si>
  <si>
    <t>At_An_Name_10113</t>
  </si>
  <si>
    <t>At_An_Name_10114</t>
  </si>
  <si>
    <t>不打不相识</t>
    <phoneticPr fontId="15" type="noConversion"/>
  </si>
  <si>
    <t>协助者</t>
  </si>
  <si>
    <t>女皇登场</t>
  </si>
  <si>
    <t>她的旨意</t>
  </si>
  <si>
    <t>被伏击者</t>
  </si>
  <si>
    <t>蓝胖子的协助</t>
  </si>
  <si>
    <t>杀出重围</t>
  </si>
  <si>
    <t>被捕获者</t>
  </si>
  <si>
    <t>救援计划</t>
  </si>
  <si>
    <t>温室之花</t>
  </si>
  <si>
    <t>凋敝之花</t>
  </si>
  <si>
    <t>救援开始</t>
  </si>
  <si>
    <t>被污染者</t>
  </si>
  <si>
    <t>此路不通</t>
  </si>
  <si>
    <t>永失吾土</t>
  </si>
  <si>
    <t>新的故乡</t>
  </si>
  <si>
    <t>36.异邦人</t>
    <phoneticPr fontId="15" type="noConversion"/>
  </si>
  <si>
    <t>37.返乡的考验</t>
    <phoneticPr fontId="15" type="noConversion"/>
  </si>
  <si>
    <t>38.暗涌缓流</t>
    <phoneticPr fontId="15" type="noConversion"/>
  </si>
  <si>
    <t>39.机动乐园</t>
    <phoneticPr fontId="15" type="noConversion"/>
  </si>
  <si>
    <t>40.时空乱流</t>
    <phoneticPr fontId="15" type="noConversion"/>
  </si>
  <si>
    <t>41.暗影笼罩</t>
    <phoneticPr fontId="15" type="noConversion"/>
  </si>
  <si>
    <t>42.前序工作</t>
    <phoneticPr fontId="15" type="noConversion"/>
  </si>
  <si>
    <t>43.花开两朵</t>
    <phoneticPr fontId="15" type="noConversion"/>
  </si>
  <si>
    <t>44.不可碰触</t>
    <phoneticPr fontId="15" type="noConversion"/>
  </si>
  <si>
    <t>45.此处即故乡</t>
    <phoneticPr fontId="15" type="noConversion"/>
  </si>
  <si>
    <t>At_An_Name_3601</t>
  </si>
  <si>
    <t>At_An_Name_3701</t>
  </si>
  <si>
    <t>At_An_Name_3801</t>
  </si>
  <si>
    <t>At_An_Name_3802</t>
  </si>
  <si>
    <t>At_An_Name_3901</t>
  </si>
  <si>
    <t>At_An_Name_4001</t>
  </si>
  <si>
    <t>At_An_Name_4101</t>
  </si>
  <si>
    <t>At_An_Name_4102</t>
  </si>
  <si>
    <t>At_An_Name_4201</t>
  </si>
  <si>
    <t>At_An_Name_4301</t>
  </si>
  <si>
    <t>At_An_Name_4302</t>
  </si>
  <si>
    <t>At_An_Name_4401</t>
  </si>
  <si>
    <t>At_An_Name_4402</t>
  </si>
  <si>
    <t>At_An_Name_4403</t>
  </si>
  <si>
    <t>At_An_Name_4501</t>
  </si>
  <si>
    <t>At_An_Name_4502</t>
  </si>
  <si>
    <t>1.新生镌铭</t>
  </si>
  <si>
    <t>2.乐园之扉</t>
  </si>
  <si>
    <t>3.苍白幻梦</t>
  </si>
  <si>
    <t>4.虚像曲解</t>
  </si>
  <si>
    <t>5.魇梦再临</t>
  </si>
  <si>
    <t>6.轮盘迷局</t>
  </si>
  <si>
    <t>7.嗤笑回音</t>
  </si>
  <si>
    <t>8.蔷薇之殇</t>
  </si>
  <si>
    <t>9.炉间灼影</t>
  </si>
  <si>
    <t>10.绯焰之盟</t>
  </si>
  <si>
    <t>11.熔岩之下</t>
  </si>
  <si>
    <t>12.坏苹果</t>
  </si>
  <si>
    <t>14.僭神之人</t>
  </si>
  <si>
    <t>15.越过瘴火</t>
  </si>
  <si>
    <t>16.灰烬樊笼</t>
  </si>
  <si>
    <t>17.深梦迷音</t>
  </si>
  <si>
    <t>18.炎雪之违</t>
  </si>
  <si>
    <t>19.风忆之翼</t>
  </si>
  <si>
    <t>20.雨霁天明</t>
  </si>
  <si>
    <t>21.飨宴迷烟</t>
  </si>
  <si>
    <t>22.醉舞升平</t>
  </si>
  <si>
    <t>24.饕欲难填</t>
  </si>
  <si>
    <t>25.云上天音</t>
  </si>
  <si>
    <t>26.龙裔余波</t>
  </si>
  <si>
    <t>27.恶魇闪回</t>
  </si>
  <si>
    <t>28.故乡遗梦</t>
  </si>
  <si>
    <t>29.爱之游戏</t>
  </si>
  <si>
    <t>30.烬土囚笼</t>
  </si>
  <si>
    <t>31.遗影存温</t>
  </si>
  <si>
    <t>32.步履徘徊</t>
  </si>
  <si>
    <t>33.回避终章</t>
  </si>
  <si>
    <t>34.终须一别</t>
  </si>
  <si>
    <t>35.离巢阵痛</t>
  </si>
  <si>
    <t>At_An_Name_10201</t>
    <phoneticPr fontId="15" type="noConversion"/>
  </si>
  <si>
    <t>At_An_Name_10202</t>
  </si>
  <si>
    <t>At_An_Name_10203</t>
  </si>
  <si>
    <t>At_An_Name_10204</t>
  </si>
  <si>
    <t>At_An_Name_10205</t>
  </si>
  <si>
    <t>At_An_Name_10206</t>
  </si>
  <si>
    <t>At_An_Name_10207</t>
  </si>
  <si>
    <t>At_An_Name_10208</t>
  </si>
  <si>
    <t>At_An_Name_10209</t>
  </si>
  <si>
    <t>At_An_Name_10210</t>
  </si>
  <si>
    <t>At_An_Name_10211</t>
  </si>
  <si>
    <t>At_An_Name_10212</t>
  </si>
  <si>
    <t>At_An_Name_10213</t>
  </si>
  <si>
    <t>At_An_Name_10214</t>
  </si>
  <si>
    <t>At_An_Name_10215</t>
  </si>
  <si>
    <t>At_An_Name_10216</t>
  </si>
  <si>
    <t>At_An_Name_10217</t>
  </si>
  <si>
    <t>At_An_Name_10218</t>
  </si>
  <si>
    <t>At_An_Name_10219</t>
  </si>
  <si>
    <t>觅信寻芳音</t>
  </si>
  <si>
    <t>酬恩需斩敌</t>
  </si>
  <si>
    <t>共赴寻玉行</t>
  </si>
  <si>
    <t>舟行一棹轻</t>
  </si>
  <si>
    <t>孤船灯火盈</t>
  </si>
  <si>
    <t>相逢不曾鸣</t>
  </si>
  <si>
    <t>险处总关情</t>
  </si>
  <si>
    <t>花好一梦醒</t>
  </si>
  <si>
    <t>禁足莫前行</t>
  </si>
  <si>
    <t>转眼又婷婷</t>
  </si>
  <si>
    <t>喧歌鱼龙庆</t>
  </si>
  <si>
    <t>偏向虎山行</t>
  </si>
  <si>
    <t>绣球启幻境</t>
  </si>
  <si>
    <t>权谋本无意</t>
  </si>
  <si>
    <t>却将风云请</t>
  </si>
  <si>
    <t>可使神鬼惊</t>
  </si>
  <si>
    <t>圣主未必主</t>
  </si>
  <si>
    <t>玉卿不负卿</t>
  </si>
  <si>
    <t>伊人不留行</t>
  </si>
  <si>
    <t>拂衣身与名</t>
  </si>
  <si>
    <t>At_An_Name_10220</t>
    <phoneticPr fontId="15" type="noConversion"/>
  </si>
  <si>
    <t>At_An_Name_10301</t>
    <phoneticPr fontId="15" type="noConversion"/>
  </si>
  <si>
    <t>At_An_Name_10302</t>
  </si>
  <si>
    <t>At_An_Name_10303</t>
  </si>
  <si>
    <t>At_An_Name_10304</t>
  </si>
  <si>
    <t>At_An_Name_10305</t>
  </si>
  <si>
    <t>At_An_Name_10306</t>
  </si>
  <si>
    <t>At_An_Name_10307</t>
  </si>
  <si>
    <t>At_An_Name_10308</t>
  </si>
  <si>
    <t>At_An_Name_10309</t>
  </si>
  <si>
    <t>At_An_Name_10310</t>
  </si>
  <si>
    <t>At_An_Name_10311</t>
  </si>
  <si>
    <t>At_An_Name_10312</t>
  </si>
  <si>
    <t>At_An_Name_10313</t>
  </si>
  <si>
    <t>At_An_Name_10314</t>
  </si>
  <si>
    <t>At_An_Name_10315</t>
  </si>
  <si>
    <t>清算</t>
  </si>
  <si>
    <t>登台</t>
  </si>
  <si>
    <t>请命</t>
  </si>
  <si>
    <t>协助</t>
  </si>
  <si>
    <t>计划</t>
  </si>
  <si>
    <t>重现</t>
  </si>
  <si>
    <t>纯情</t>
  </si>
  <si>
    <t>束缚</t>
  </si>
  <si>
    <t>主动</t>
  </si>
  <si>
    <t>旧敌</t>
  </si>
  <si>
    <t>援手</t>
  </si>
  <si>
    <t>败露</t>
  </si>
  <si>
    <t>赌约</t>
  </si>
  <si>
    <t>静待光临</t>
  </si>
  <si>
    <t>游戏开始</t>
  </si>
  <si>
    <t>重游非故地</t>
  </si>
  <si>
    <t>另一面的她</t>
  </si>
  <si>
    <t>奖励关卡</t>
  </si>
  <si>
    <t>睡美人？</t>
  </si>
  <si>
    <t>予我爱恋</t>
  </si>
  <si>
    <t>小心受骗</t>
  </si>
  <si>
    <t>剧场后台</t>
  </si>
  <si>
    <t>予我掌声</t>
  </si>
  <si>
    <t>假粉丝</t>
  </si>
  <si>
    <t>极欲</t>
  </si>
  <si>
    <t>大声密谋</t>
  </si>
  <si>
    <t>替身</t>
  </si>
  <si>
    <t>欢迎回来</t>
  </si>
  <si>
    <t>胜利结算</t>
  </si>
  <si>
    <t>At_An_Name_10316</t>
    <phoneticPr fontId="15" type="noConversion"/>
  </si>
  <si>
    <t>At_An_Name_10401</t>
    <phoneticPr fontId="15" type="noConversion"/>
  </si>
  <si>
    <t>At_An_Name_10402</t>
  </si>
  <si>
    <t>At_An_Name_10403</t>
  </si>
  <si>
    <t>At_An_Name_10404</t>
  </si>
  <si>
    <t>At_An_Name_10405</t>
  </si>
  <si>
    <t>At_An_Name_10406</t>
  </si>
  <si>
    <t>At_An_Name_10407</t>
  </si>
  <si>
    <t>At_An_Name_10408</t>
  </si>
  <si>
    <t>At_An_Name_10409</t>
  </si>
  <si>
    <t>At_An_Name_10410</t>
  </si>
  <si>
    <t>At_An_Name_10411</t>
  </si>
  <si>
    <t>At_An_Name_10412</t>
  </si>
  <si>
    <t>At_An_Name_10413</t>
  </si>
  <si>
    <t>At_An_Name_10414</t>
  </si>
  <si>
    <t>裂隙深处</t>
    <phoneticPr fontId="15" type="noConversion"/>
  </si>
  <si>
    <t>真面目</t>
    <phoneticPr fontId="15" type="noConversion"/>
  </si>
  <si>
    <t>At_An_Name_10418</t>
  </si>
  <si>
    <t>团员羁绊</t>
    <phoneticPr fontId="15" type="noConversion"/>
  </si>
  <si>
    <t>Fetter</t>
    <phoneticPr fontId="15" type="noConversion"/>
  </si>
  <si>
    <t>Order</t>
    <phoneticPr fontId="15" type="noConversion"/>
  </si>
  <si>
    <t>Chann</t>
  </si>
  <si>
    <t>排序</t>
    <phoneticPr fontId="15" type="noConversion"/>
  </si>
  <si>
    <t>标题类别</t>
    <phoneticPr fontId="15" type="noConversion"/>
  </si>
  <si>
    <t>标题名称</t>
    <phoneticPr fontId="15" type="noConversion"/>
  </si>
  <si>
    <t>关联AnimationChapter表id</t>
    <phoneticPr fontId="15" type="noConversion"/>
  </si>
  <si>
    <t>主线：数字越小越靠前
活动：数字越大越靠前</t>
    <phoneticPr fontId="15" type="noConversion"/>
  </si>
  <si>
    <t>章回类别</t>
    <phoneticPr fontId="15" type="noConversion"/>
  </si>
  <si>
    <t>章回名称</t>
    <phoneticPr fontId="15" type="noConversion"/>
  </si>
  <si>
    <t>ChapterType</t>
    <phoneticPr fontId="15" type="noConversion"/>
  </si>
  <si>
    <t>1：主线
2：活动</t>
    <phoneticPr fontId="15" type="noConversion"/>
  </si>
  <si>
    <t>1.活动a章节</t>
    <phoneticPr fontId="15" type="noConversion"/>
  </si>
  <si>
    <t>2.活动a章节</t>
    <phoneticPr fontId="15" type="noConversion"/>
  </si>
  <si>
    <t>UI/Sprite/PicBook/cover_img_1</t>
    <phoneticPr fontId="15" type="noConversion"/>
  </si>
  <si>
    <t>UI/Sprite/PicBook/cover_img_2</t>
    <phoneticPr fontId="15" type="noConversion"/>
  </si>
  <si>
    <t>封面图片</t>
    <phoneticPr fontId="15" type="noConversion"/>
  </si>
  <si>
    <t>3.活动a章节</t>
    <phoneticPr fontId="15" type="noConversion"/>
  </si>
  <si>
    <t>4.活动a章节</t>
    <phoneticPr fontId="15" type="noConversion"/>
  </si>
  <si>
    <t>5.活动a章节</t>
    <phoneticPr fontId="15" type="noConversion"/>
  </si>
  <si>
    <t>类型</t>
    <phoneticPr fontId="15" type="noConversion"/>
  </si>
  <si>
    <t>配置章回（客户端展示）</t>
    <phoneticPr fontId="15" type="noConversion"/>
  </si>
  <si>
    <t>wuchang</t>
    <phoneticPr fontId="15" type="noConversion"/>
  </si>
  <si>
    <t>AnimationChapter</t>
  </si>
  <si>
    <t>AtlasConfig_AnimationChapter</t>
    <phoneticPr fontId="15" type="noConversion"/>
  </si>
  <si>
    <t>UI/Sprite/PicBook/cover_img_8</t>
    <phoneticPr fontId="15" type="noConversion"/>
  </si>
  <si>
    <t>UI/Sprite/PicBook/cover_img_3</t>
    <phoneticPr fontId="15" type="noConversion"/>
  </si>
  <si>
    <t>世界观</t>
    <phoneticPr fontId="15" type="noConversion"/>
  </si>
  <si>
    <t>UI/Sprite/PicBook/cover_img_4</t>
    <phoneticPr fontId="15" type="noConversion"/>
  </si>
  <si>
    <t>UI/Sprite/PicBook/cover_img_9</t>
    <phoneticPr fontId="15" type="noConversion"/>
  </si>
  <si>
    <t>UI/Sprite/PicBook/cover_img_6</t>
    <phoneticPr fontId="15" type="noConversion"/>
  </si>
  <si>
    <t>UI/Sprite/PicBook/cover_img_7</t>
    <phoneticPr fontId="15" type="noConversion"/>
  </si>
  <si>
    <t>UI/Sprite/PicBook/cover_img_11</t>
    <phoneticPr fontId="15" type="noConversion"/>
  </si>
  <si>
    <t>UI/Sprite/PicBook/cover_img_13</t>
    <phoneticPr fontId="15" type="noConversion"/>
  </si>
  <si>
    <t>UI/Sprite/PicBook/cover_img_14</t>
    <phoneticPr fontId="15" type="noConversion"/>
  </si>
  <si>
    <t>绛夜迷局</t>
  </si>
  <si>
    <t>绯夜梦宴</t>
  </si>
  <si>
    <t>UI/Sprite/PicBook/cover_img_15</t>
  </si>
  <si>
    <t>UI/Sprite/PicBook/cover_img_16</t>
  </si>
  <si>
    <t>UI/Sprite/PicBook/cover_img_17</t>
  </si>
  <si>
    <t>觅信寻芳音</t>
    <phoneticPr fontId="15" type="noConversion"/>
  </si>
  <si>
    <t>孤船灯火盈</t>
    <phoneticPr fontId="15" type="noConversion"/>
  </si>
  <si>
    <t>险处总关情</t>
    <phoneticPr fontId="15" type="noConversion"/>
  </si>
  <si>
    <t>喧歌鱼龙庆</t>
    <phoneticPr fontId="15" type="noConversion"/>
  </si>
  <si>
    <t>绣球启幻境</t>
    <phoneticPr fontId="15" type="noConversion"/>
  </si>
  <si>
    <t>玉卿不负卿</t>
    <phoneticPr fontId="15" type="noConversion"/>
  </si>
  <si>
    <t>魔女登场</t>
  </si>
  <si>
    <t>新的乐园</t>
  </si>
  <si>
    <t>重现的“金丝雀”</t>
  </si>
  <si>
    <t>并非故人</t>
  </si>
  <si>
    <t>束缚的蝶翼</t>
  </si>
  <si>
    <t>我们的赌约</t>
  </si>
  <si>
    <t>梦域织造</t>
  </si>
  <si>
    <t>自投罗网</t>
  </si>
  <si>
    <t>梦宴开场</t>
  </si>
  <si>
    <t>赤金之宴</t>
  </si>
  <si>
    <t>轻纱之宴</t>
  </si>
  <si>
    <t>绯夜终明</t>
  </si>
  <si>
    <t>背景图片</t>
    <phoneticPr fontId="15" type="noConversion"/>
  </si>
  <si>
    <t>BackGroundPic</t>
    <phoneticPr fontId="15" type="noConversion"/>
  </si>
  <si>
    <t>UI/Sprite/PicBook/cover_img_1_s</t>
    <phoneticPr fontId="15" type="noConversion"/>
  </si>
  <si>
    <t>UI/Sprite/PicBook/cover_img_2_s</t>
    <phoneticPr fontId="15" type="noConversion"/>
  </si>
  <si>
    <t>UI/Sprite/PicBook/cover_img_4_s</t>
    <phoneticPr fontId="15" type="noConversion"/>
  </si>
  <si>
    <t>UI/Sprite/PicBook/cover_img_3_s</t>
    <phoneticPr fontId="15" type="noConversion"/>
  </si>
  <si>
    <t>UI/Sprite/PicBook/cover_img_8_s</t>
    <phoneticPr fontId="15" type="noConversion"/>
  </si>
  <si>
    <t>UI/Sprite/PicBook/cover_img_9_s</t>
    <phoneticPr fontId="15" type="noConversion"/>
  </si>
  <si>
    <t>UI/Sprite/PicBook/cover_img_6_s</t>
    <phoneticPr fontId="15" type="noConversion"/>
  </si>
  <si>
    <t>UI/Sprite/PicBook/cover_img_7_s</t>
    <phoneticPr fontId="15" type="noConversion"/>
  </si>
  <si>
    <t>UI/Sprite/PicBook/cover_img_11_s</t>
    <phoneticPr fontId="15" type="noConversion"/>
  </si>
  <si>
    <t>UI/Sprite/PicBook/cover_img_13_s</t>
    <phoneticPr fontId="15" type="noConversion"/>
  </si>
  <si>
    <t>UI/Sprite/PicBook/cover_img_14_s</t>
    <phoneticPr fontId="15" type="noConversion"/>
  </si>
  <si>
    <t>UI/Sprite/PicBook/cover_img_15_s</t>
    <phoneticPr fontId="15" type="noConversion"/>
  </si>
  <si>
    <t>UI/Sprite/PicBook/cover_img_16_s</t>
    <phoneticPr fontId="15" type="noConversion"/>
  </si>
  <si>
    <t>UI/Sprite/PicBook/cover_img_17_s</t>
    <phoneticPr fontId="15" type="noConversion"/>
  </si>
  <si>
    <t>Atl_Ins_Describe_2</t>
  </si>
  <si>
    <t>Atl_Ins_Describe_3</t>
  </si>
  <si>
    <t>Atl_Ins_Describe_4</t>
  </si>
  <si>
    <t>Atl_Ins_Describe_7</t>
  </si>
  <si>
    <t>Atl_Ins_Describe_8</t>
  </si>
  <si>
    <t>At_An_Name_10415</t>
  </si>
  <si>
    <t>At_An_Name_10416</t>
  </si>
  <si>
    <t>At_An_Name_10417</t>
  </si>
  <si>
    <t>At_An_Name_10001</t>
  </si>
  <si>
    <t>Atl_Ani_Name_2001</t>
  </si>
  <si>
    <t>Atl_Ani_Name_2002</t>
  </si>
  <si>
    <t>Atl_Ani_Name_2003</t>
  </si>
  <si>
    <t>At_An_Name_98</t>
  </si>
  <si>
    <t>活动章节</t>
  </si>
  <si>
    <t>At_An_Name_13</t>
  </si>
  <si>
    <t>依露娅</t>
  </si>
  <si>
    <t>好感度</t>
  </si>
  <si>
    <t>UI/Sprite/HeroDate/story_cg_favorability_Eluya</t>
  </si>
  <si>
    <t>At_An_Name_14</t>
  </si>
  <si>
    <t>尤菲莉亚</t>
    <phoneticPr fontId="15" type="noConversion"/>
  </si>
  <si>
    <t>UI/Sprite/HeroDate/story_cg_favorability_Eupheria</t>
  </si>
  <si>
    <t>At_An_Name_15</t>
  </si>
  <si>
    <t>依沙</t>
    <phoneticPr fontId="15" type="noConversion"/>
  </si>
  <si>
    <t>UI/Sprite/HeroDate/story_cg_favorability_Isa</t>
  </si>
  <si>
    <t>At_An_Name_16</t>
  </si>
  <si>
    <t>UI/Sprite/HeroDate/story_cg_favorability_Kloar</t>
  </si>
  <si>
    <t>At_An_Name_17</t>
  </si>
  <si>
    <t>UI/Sprite/HeroDate/story_cg_favorability_Mireya</t>
  </si>
  <si>
    <t>At_An_Name_18</t>
  </si>
  <si>
    <t>UI/Sprite/HeroDate/story_cg_favorability_Rooco</t>
  </si>
  <si>
    <t>At_An_Name_19</t>
  </si>
  <si>
    <t>希斯蕾特</t>
  </si>
  <si>
    <t>UI/Sprite/HeroDate/story_cg_favorability_Sirslet</t>
  </si>
  <si>
    <t>At_An_Name_20</t>
  </si>
  <si>
    <t>UI/Sprite/HeroDate/story_cg_favorability_Ume</t>
  </si>
  <si>
    <t>At_An_Name_100</t>
  </si>
  <si>
    <t>星芒初绽</t>
    <phoneticPr fontId="15" type="noConversion"/>
  </si>
  <si>
    <t>笼中鸟的哀歌</t>
    <phoneticPr fontId="15" type="noConversion"/>
  </si>
  <si>
    <t>致爱丽丝</t>
    <phoneticPr fontId="15" type="noConversion"/>
  </si>
  <si>
    <t>蔷薇荆棘</t>
    <phoneticPr fontId="15" type="noConversion"/>
  </si>
  <si>
    <t>铁砧与炸弹</t>
    <phoneticPr fontId="15" type="noConversion"/>
  </si>
  <si>
    <t>暴怒的真相</t>
    <phoneticPr fontId="15" type="noConversion"/>
  </si>
  <si>
    <t>小小的翅膀</t>
    <phoneticPr fontId="15" type="noConversion"/>
  </si>
  <si>
    <t>不休之宴</t>
    <phoneticPr fontId="15" type="noConversion"/>
  </si>
  <si>
    <t>龙族宝藏</t>
    <phoneticPr fontId="15" type="noConversion"/>
  </si>
  <si>
    <t>故乡与他乡</t>
    <phoneticPr fontId="15" type="noConversion"/>
  </si>
  <si>
    <t>卿影歌行</t>
    <phoneticPr fontId="15" type="noConversion"/>
  </si>
  <si>
    <t>UI/Sprite/Loading/loading_bg_10</t>
    <phoneticPr fontId="15" type="noConversion"/>
  </si>
  <si>
    <t>UI/Sprite/Loading/loading_activitybg_1</t>
    <phoneticPr fontId="15" type="noConversion"/>
  </si>
  <si>
    <t>UI/Sprite/Loading/loading_activitybg_2</t>
    <phoneticPr fontId="15" type="noConversion"/>
  </si>
  <si>
    <t>UI/Sprite/Loading/loading_activitybg_3</t>
  </si>
  <si>
    <t>巨大的空中花园形态飞空艇，承载着歌斐尔剧团成员的生活起居与演出场所，为剧团提供了先进的灿晶科技带来的舒适生活。</t>
    <phoneticPr fontId="15" type="noConversion"/>
  </si>
  <si>
    <t>将来自陨星的灿晶能源视若神明，人类为此修建了星晶碑进行膜拜。</t>
    <phoneticPr fontId="15" type="noConversion"/>
  </si>
  <si>
    <t>晶芒结社使用黯晶力量建造的虚拟空间，一个不完全遵从传统的物理法则和魔法原理的异空间，只有灵魂可以进入其中，在结社教义中，这是能实现一切愿望的美好之地。</t>
    <phoneticPr fontId="15" type="noConversion"/>
  </si>
  <si>
    <t>由于各自的愿望而被晶芒结社利诱蒙骗的人，他们的力量强大肉体特殊，灵魂无一例外落入乐园之中。乐园的机制将其欲望放大蒙蔽本心，从而使得圣子作为乐园的狱卒，拱卫乐园。</t>
    <phoneticPr fontId="15" type="noConversion"/>
  </si>
  <si>
    <t>At_An_Describe_3</t>
  </si>
  <si>
    <t>At_An_Describe_4</t>
  </si>
  <si>
    <t>At_An_Describe_6</t>
  </si>
  <si>
    <t>At_An_Describe_10</t>
  </si>
  <si>
    <t>Atl_Ani_Name_10101</t>
  </si>
  <si>
    <t>Atl_Ani_Name_10102</t>
  </si>
  <si>
    <t>Atl_Ani_Name_10103</t>
  </si>
  <si>
    <t>剧团名伶</t>
    <phoneticPr fontId="15" type="noConversion"/>
  </si>
  <si>
    <t>舞台上的光芒</t>
    <phoneticPr fontId="15" type="noConversion"/>
  </si>
  <si>
    <t>餐桌边的战争</t>
    <phoneticPr fontId="15" type="noConversion"/>
  </si>
  <si>
    <t>梦碎彼方</t>
    <phoneticPr fontId="15" type="noConversion"/>
  </si>
  <si>
    <t>日渐式微的亚尔诺皇室成员与分裂的结社高层秘密结盟，带领部分皇家骑士团和神授军团成员组成了最初的联盟。</t>
    <phoneticPr fontId="15" type="noConversion"/>
  </si>
  <si>
    <t>团长与玉卿躲在狭小的衣柜中，激烈的心跳在寂静中鼓动，这声音到底来自于谁？</t>
  </si>
  <si>
    <t>“魅魔”也会露出温柔和纯真的微笑，说到底，又是谁将魅魔之名安在薇洛缇雅头上呢。</t>
  </si>
  <si>
    <t>露丝黛尔创造的幻境虚影，但又无比真实，这或许映衬着她的心意。对于露丝黛尔来说，魅惑人心比获得真心更难。</t>
  </si>
  <si>
    <t>鼓动的心跳</t>
    <phoneticPr fontId="15" type="noConversion"/>
  </si>
  <si>
    <t>最棒的笑容</t>
  </si>
  <si>
    <t>“奖励”关卡</t>
  </si>
  <si>
    <t>普通人类在乐园降临之后，肉体陷入沉眠，灵魂进入乐园，沉浸在自我编织的美好梦境中。</t>
    <phoneticPr fontId="15" type="noConversion"/>
  </si>
  <si>
    <t>“看来团长是有点担心，我们即将演出的舞台剧排练进度吧？有我天才女演员希丝蕾特在，还有这两位剧团的高人气女明星在，相信这次的演出也会成为传说吧。”</t>
    <phoneticPr fontId="15" type="noConversion"/>
  </si>
  <si>
    <t>歌斐尔剧团的茶会室，位于飞空艇上部的花园之内，这里环境优美令人身心放松。</t>
    <phoneticPr fontId="15" type="noConversion"/>
  </si>
  <si>
    <t>跟随流星雨降临依露希尔星球的天外之物，一种神秘的紫黑色晶体。</t>
    <phoneticPr fontId="15" type="noConversion"/>
  </si>
  <si>
    <t>是否屏蔽</t>
    <phoneticPr fontId="15" type="noConversion"/>
  </si>
  <si>
    <t>Shield</t>
    <phoneticPr fontId="15" type="noConversion"/>
  </si>
  <si>
    <t>All</t>
    <phoneticPr fontId="15" type="noConversion"/>
  </si>
  <si>
    <t>0：显示
1：屏蔽</t>
    <phoneticPr fontId="15" type="noConversion"/>
  </si>
  <si>
    <t>At_An_Describe_1</t>
  </si>
  <si>
    <t>At_An_Describe_7</t>
  </si>
  <si>
    <t>At_An_Describe_9</t>
  </si>
  <si>
    <t>At_An_Describe_11</t>
  </si>
  <si>
    <t>At_An_Describe_12</t>
  </si>
  <si>
    <t>At_An_Describe_20001</t>
  </si>
  <si>
    <t>At_An_Describe_20101</t>
  </si>
  <si>
    <t>At_An_Describe_20201</t>
  </si>
  <si>
    <t>Atl_Ani_Name_1001</t>
  </si>
  <si>
    <t>Atl_Ani_Name_1002</t>
  </si>
  <si>
    <t>At_An_Name_1003</t>
  </si>
  <si>
    <t>At_An_Name_1004</t>
  </si>
  <si>
    <t>At_An_Name_1005</t>
  </si>
  <si>
    <t>At_An_Name_1006</t>
  </si>
  <si>
    <t>At_An_Name_1007</t>
  </si>
  <si>
    <t>At_An_Name_1008</t>
  </si>
  <si>
    <t>At_An_Name_1009</t>
  </si>
  <si>
    <t>At_An_Name_1010</t>
  </si>
  <si>
    <t>At_An_Name_1011</t>
  </si>
  <si>
    <t>33|30|48</t>
    <phoneticPr fontId="15" type="noConversion"/>
  </si>
  <si>
    <t>-400=-130,200=-70,-70=40</t>
    <phoneticPr fontId="15" type="noConversion"/>
  </si>
  <si>
    <t>9|42|25</t>
    <phoneticPr fontId="15" type="noConversion"/>
  </si>
  <si>
    <t>-280=-167,125=-230,20=160</t>
    <phoneticPr fontId="15" type="noConversion"/>
  </si>
  <si>
    <t>ch3.苍白幻梦</t>
  </si>
  <si>
    <t>ch4.虚像曲解</t>
  </si>
  <si>
    <t>ch5.魇梦再临</t>
  </si>
  <si>
    <t>ch6.轮盘迷局</t>
  </si>
  <si>
    <t>ch7.嗤笑回音</t>
  </si>
  <si>
    <t>ch8.蔷薇之殇</t>
  </si>
  <si>
    <t>ch9.炉间灼影</t>
  </si>
  <si>
    <t>ch10.绯焰之盟</t>
  </si>
  <si>
    <t>ch11.熔岩之下</t>
  </si>
  <si>
    <t>ch12.坏苹果</t>
  </si>
  <si>
    <t>ch13.恶疫蔓延</t>
  </si>
  <si>
    <t>ch14.僭神之人</t>
  </si>
  <si>
    <t>ch15.越过瘴火</t>
  </si>
  <si>
    <t>ch16.灰烬樊笼</t>
  </si>
  <si>
    <t>ch17.深梦迷音</t>
  </si>
  <si>
    <t>ch18.炎雪之违</t>
  </si>
  <si>
    <t>ch19.风忆之翼</t>
  </si>
  <si>
    <t>ch20.雨霁天明</t>
  </si>
  <si>
    <t>ch21.飨宴迷烟</t>
  </si>
  <si>
    <t>ch22.醉舞升平</t>
  </si>
  <si>
    <t>ch23.盛筵易散</t>
  </si>
  <si>
    <t>ch24.饕欲难填</t>
  </si>
  <si>
    <t>ch25.云上天音</t>
  </si>
  <si>
    <t>ch26.龙裔余波</t>
  </si>
  <si>
    <t>ch27.恶魇闪回</t>
  </si>
  <si>
    <t>ch28.故乡遗梦</t>
  </si>
  <si>
    <t>ch29.爱之游戏</t>
  </si>
  <si>
    <t>ch30.烬土囚笼</t>
  </si>
  <si>
    <t>ch31.遗影存温</t>
  </si>
  <si>
    <t>ch32.步履徘徊</t>
  </si>
  <si>
    <t>ch33.回避终章</t>
  </si>
  <si>
    <t>ch34.终须一别</t>
  </si>
  <si>
    <t>ch35.离巢阵痛</t>
  </si>
  <si>
    <t>ch36.异邦人</t>
  </si>
  <si>
    <t>ch37.返乡的考验</t>
  </si>
  <si>
    <t>ch38.暗涌缓流</t>
  </si>
  <si>
    <t>ch39.机动乐园</t>
  </si>
  <si>
    <t>ch40.时空乱流</t>
  </si>
  <si>
    <t>ch41.暗影笼罩</t>
  </si>
  <si>
    <t>ch42.前序工作</t>
  </si>
  <si>
    <t>ch43.花开两朵</t>
  </si>
  <si>
    <t>ch44.不可碰触</t>
  </si>
  <si>
    <t>ch45.此处即故乡</t>
  </si>
  <si>
    <t>ch1.新生镌铭</t>
    <phoneticPr fontId="15" type="noConversion"/>
  </si>
  <si>
    <t>羁绊名册</t>
    <phoneticPr fontId="15" type="noConversion"/>
  </si>
  <si>
    <t>At_An_Name_20001</t>
  </si>
  <si>
    <t>At_An_Name_20101</t>
  </si>
  <si>
    <t>At_An_Name_20201</t>
  </si>
  <si>
    <t>Atl_Ani_Name_1</t>
  </si>
  <si>
    <t>Atl_Ani_Name_2</t>
  </si>
  <si>
    <t>Atl_Ani_Name_3</t>
  </si>
  <si>
    <t>Atl_Ani_Name_4</t>
  </si>
  <si>
    <t>Atl_Ani_Name_5</t>
  </si>
  <si>
    <t>Atl_Ani_Name_6</t>
  </si>
  <si>
    <t>Atl_Ani_Name_7</t>
  </si>
  <si>
    <t>Atl_Ani_Name_8</t>
  </si>
  <si>
    <t>Atl_Ani_Name_9</t>
  </si>
  <si>
    <t>Atl_Ani_Name_10</t>
  </si>
  <si>
    <t>Atl_Ani_Name_11</t>
  </si>
  <si>
    <t>Atl_Ani_Name_12</t>
  </si>
  <si>
    <t>Atl_Ani_Name_13</t>
  </si>
  <si>
    <t>Atl_Ani_Name_14</t>
  </si>
  <si>
    <t>Atl_Ani_Name_15</t>
  </si>
  <si>
    <t>Atl_Ani_Name_16</t>
  </si>
  <si>
    <t>Atl_Ani_Name_17</t>
  </si>
  <si>
    <t>Atl_Ani_Name_18</t>
  </si>
  <si>
    <t>Atl_Ani_Name_19</t>
  </si>
  <si>
    <t>Atl_Ani_Name_20</t>
  </si>
  <si>
    <t>At_An_Name_21</t>
  </si>
  <si>
    <t>At_An_Name_22</t>
  </si>
  <si>
    <t>At_An_Name_23</t>
  </si>
  <si>
    <t>At_An_Name_24</t>
  </si>
  <si>
    <t>At_An_Name_25</t>
  </si>
  <si>
    <t>At_An_Name_26</t>
  </si>
  <si>
    <t>At_An_Name_27</t>
  </si>
  <si>
    <t>At_An_Name_28</t>
  </si>
  <si>
    <t>At_An_Name_29</t>
  </si>
  <si>
    <t>At_An_Name_30</t>
  </si>
  <si>
    <t>At_An_Name_31</t>
  </si>
  <si>
    <t>At_An_Name_32</t>
  </si>
  <si>
    <t>At_An_Name_33</t>
  </si>
  <si>
    <t>At_An_Name_34</t>
  </si>
  <si>
    <t>At_An_Name_35</t>
  </si>
  <si>
    <t>At_An_Name_36</t>
  </si>
  <si>
    <t>At_An_Name_37</t>
  </si>
  <si>
    <t>At_An_Name_38</t>
  </si>
  <si>
    <t>At_An_Name_39</t>
  </si>
  <si>
    <t>At_An_Name_40</t>
  </si>
  <si>
    <t>At_An_Name_41</t>
  </si>
  <si>
    <t>At_An_Name_42</t>
  </si>
  <si>
    <t>At_An_Name_43</t>
  </si>
  <si>
    <t>At_An_Name_44</t>
  </si>
  <si>
    <t>At_An_Name_45</t>
  </si>
  <si>
    <t>At_An_Name_20002</t>
  </si>
  <si>
    <t>At_An_Name_20003</t>
  </si>
  <si>
    <t>At_An_Name_20004</t>
  </si>
  <si>
    <t>At_An_Name_20005</t>
  </si>
  <si>
    <t>At_An_Name_20006</t>
  </si>
  <si>
    <t>At_An_Name_20102</t>
  </si>
  <si>
    <t>At_An_Name_20103</t>
  </si>
  <si>
    <t>At_An_Name_20104</t>
  </si>
  <si>
    <t>At_An_Name_20105</t>
  </si>
  <si>
    <t>At_An_Name_20106</t>
  </si>
  <si>
    <t>At_An_Name_20202</t>
  </si>
  <si>
    <t>At_An_Name_20203</t>
  </si>
  <si>
    <t>At_An_Name_20204</t>
  </si>
  <si>
    <t>At_An_Name_20205</t>
  </si>
  <si>
    <t>At_An_Name_20206</t>
  </si>
  <si>
    <t>Atl_Ani_Name_2004</t>
    <phoneticPr fontId="15" type="noConversion"/>
  </si>
  <si>
    <t>温泉惊魂</t>
    <phoneticPr fontId="15" type="noConversion"/>
  </si>
  <si>
    <t>UI/Sprite/PicBook/cover_img_18_s</t>
    <phoneticPr fontId="15" type="noConversion"/>
  </si>
  <si>
    <t>UI/Sprite/PicBook/cover_img_18</t>
    <phoneticPr fontId="15" type="noConversion"/>
  </si>
  <si>
    <t>ch2.乐园之扉</t>
  </si>
  <si>
    <t>ch1.觅信寻芳音</t>
  </si>
  <si>
    <t>ch1.魔女登场</t>
  </si>
  <si>
    <t>ch2.新的乐园</t>
  </si>
  <si>
    <t>ch3.重现的“金丝雀”</t>
  </si>
  <si>
    <t>ch4.并非故人</t>
  </si>
  <si>
    <t>ch5.束缚的蝶翼</t>
  </si>
  <si>
    <t>ch1.梦域织造</t>
  </si>
  <si>
    <t>ch2.自投罗网</t>
  </si>
  <si>
    <t>ch3.梦宴开场</t>
  </si>
  <si>
    <t>ch4.赤金之宴</t>
  </si>
  <si>
    <t>ch5.轻纱之宴</t>
  </si>
  <si>
    <t>At_An_Name_20301</t>
    <phoneticPr fontId="15" type="noConversion"/>
  </si>
  <si>
    <t>ch1.稻荷温泉乡</t>
    <phoneticPr fontId="15" type="noConversion"/>
  </si>
  <si>
    <t>At_An_Name_20302</t>
  </si>
  <si>
    <t>ch2.狸妖百变亭</t>
    <phoneticPr fontId="15" type="noConversion"/>
  </si>
  <si>
    <t>At_An_Name_20303</t>
  </si>
  <si>
    <t>ch3.汤屋狐火</t>
    <phoneticPr fontId="15" type="noConversion"/>
  </si>
  <si>
    <t>At_An_Name_20304</t>
  </si>
  <si>
    <t>At_An_Name_20305</t>
  </si>
  <si>
    <t>At_An_Name_20306</t>
  </si>
  <si>
    <t>使用灿晶星盘制作的各类武器和装置，星选者可以通过灿晶武器进入乐园，并在乐园内发挥出强大的属性力量，但这种链接并不稳定。</t>
  </si>
  <si>
    <t>出于保护星选者的目的，前团长伯纳德吸纳在各地巡游的艺术剧团成员后，为收留的星选者组建了掩护身份的正规剧团——歌斐尔剧团。</t>
  </si>
  <si>
    <t>每一位歌斐尔剧团的成员，都经历过在舞台上挥洒汗水，散发光芒的一刻。对于他们来说，演出的重要程度不亚于在乐园内战斗。
双面人生，双重精彩。这就是歌斐尔剧团的星选者们选择的生活方式。</t>
  </si>
  <si>
    <t>At_An_Name_10501</t>
    <phoneticPr fontId="15" type="noConversion"/>
  </si>
  <si>
    <t>初见温泉乡</t>
  </si>
  <si>
    <t>稻荷温泉乡</t>
  </si>
  <si>
    <t>At_An_Name_10502</t>
  </si>
  <si>
    <t>巷战阴影</t>
  </si>
  <si>
    <t>At_An_Name_10503</t>
  </si>
  <si>
    <t>百变亭</t>
  </si>
  <si>
    <t>狸妖百变亭</t>
  </si>
  <si>
    <t>At_An_Name_10504</t>
  </si>
  <si>
    <t>惊魂一日</t>
  </si>
  <si>
    <t>At_An_Name_10505</t>
  </si>
  <si>
    <t>巫女的请求</t>
  </si>
  <si>
    <t>汤屋狐火</t>
  </si>
  <si>
    <t>At_An_Name_10506</t>
  </si>
  <si>
    <t>汤屋【狐火】</t>
  </si>
  <si>
    <t>At_An_Name_10507</t>
  </si>
  <si>
    <t>葛叶的请求</t>
  </si>
  <si>
    <t>At_An_Name_10508</t>
  </si>
  <si>
    <t>来试胆吧</t>
  </si>
  <si>
    <t>At_An_Name_10509</t>
  </si>
  <si>
    <t>弄假成真</t>
  </si>
  <si>
    <t>惊魂记</t>
  </si>
  <si>
    <t>At_An_Name_10510</t>
  </si>
  <si>
    <t>污秽空间</t>
  </si>
  <si>
    <t>At_An_Name_10511</t>
  </si>
  <si>
    <t>关键信息</t>
  </si>
  <si>
    <t>污秽根源</t>
  </si>
  <si>
    <t>At_An_Name_10512</t>
  </si>
  <si>
    <t>三千烦恼</t>
  </si>
  <si>
    <t>At_An_Name_10513</t>
  </si>
  <si>
    <t>灵脉之谜</t>
  </si>
  <si>
    <t>At_An_Name_10514</t>
  </si>
  <si>
    <t>At_An_Name_10515</t>
  </si>
  <si>
    <t>放弃与拯救</t>
  </si>
  <si>
    <t>温泉乡？温柔乡！</t>
  </si>
  <si>
    <t>At_An_Name_10516</t>
  </si>
  <si>
    <t>雪中温泉</t>
  </si>
  <si>
    <t>温泉乡“最美的风景”</t>
  </si>
  <si>
    <t>UI/Sprite/Loading/loading_activitybg_4</t>
    <phoneticPr fontId="15" type="noConversion"/>
  </si>
  <si>
    <t>At_An_Describe_20301</t>
  </si>
  <si>
    <t>Atl_Ani_Name_10104</t>
    <phoneticPr fontId="15" type="noConversion"/>
  </si>
  <si>
    <t>夕月寻仙记</t>
    <phoneticPr fontId="15" type="noConversion"/>
  </si>
  <si>
    <t>UI/Sprite/PicBook/cover_img_10_s</t>
    <phoneticPr fontId="15" type="noConversion"/>
  </si>
  <si>
    <t>UI/Sprite/PicBook/cover_img_10</t>
    <phoneticPr fontId="15" type="noConversion"/>
  </si>
  <si>
    <t>ch1.游学奇谋现</t>
    <phoneticPr fontId="15" type="noConversion"/>
  </si>
  <si>
    <t>ch2.天镜城绮梦</t>
    <phoneticPr fontId="15" type="noConversion"/>
  </si>
  <si>
    <t>ch3.金蟾吞月劫</t>
    <phoneticPr fontId="15" type="noConversion"/>
  </si>
  <si>
    <t>ch4.玉桂林遁影</t>
    <phoneticPr fontId="15" type="noConversion"/>
  </si>
  <si>
    <t>ch5.奔月寻月神</t>
    <phoneticPr fontId="15" type="noConversion"/>
  </si>
  <si>
    <t>ch6.月宫遇贵人</t>
    <phoneticPr fontId="15" type="noConversion"/>
  </si>
  <si>
    <t>ch7.幽都父怒临</t>
    <phoneticPr fontId="15" type="noConversion"/>
  </si>
  <si>
    <t>ch8.梦醒桂香盈</t>
    <phoneticPr fontId="15" type="noConversion"/>
  </si>
  <si>
    <t>At_An_Name_20401</t>
    <phoneticPr fontId="15" type="noConversion"/>
  </si>
  <si>
    <t>At_An_Name_20402</t>
  </si>
  <si>
    <t>At_An_Name_20403</t>
  </si>
  <si>
    <t>At_An_Name_20404</t>
  </si>
  <si>
    <t>At_An_Name_20405</t>
  </si>
  <si>
    <t>At_An_Name_20406</t>
  </si>
  <si>
    <t>At_An_Name_20407</t>
  </si>
  <si>
    <t>At_An_Name_20408</t>
  </si>
  <si>
    <t>At_An_Name_10601</t>
    <phoneticPr fontId="15" type="noConversion"/>
  </si>
  <si>
    <t>游学大师，登场！</t>
  </si>
  <si>
    <t>骗术大师</t>
  </si>
  <si>
    <t>绮梦</t>
  </si>
  <si>
    <t>过关斩将</t>
  </si>
  <si>
    <t>呱？</t>
  </si>
  <si>
    <t>糯米丸子将军</t>
  </si>
  <si>
    <t>离家的理由</t>
  </si>
  <si>
    <t>玉桂树下</t>
  </si>
  <si>
    <t>长廊之下</t>
  </si>
  <si>
    <t>守门人</t>
  </si>
  <si>
    <t>暗中相助之人</t>
  </si>
  <si>
    <t>蛙化加速</t>
  </si>
  <si>
    <t>奇怪的问题</t>
  </si>
  <si>
    <t>月宫之主</t>
  </si>
  <si>
    <t>父与女，梦与醒</t>
  </si>
  <si>
    <t>后记</t>
  </si>
  <si>
    <t>游学奇谋现</t>
  </si>
  <si>
    <t>天镜城绮梦</t>
  </si>
  <si>
    <t>金蟾吞月劫</t>
  </si>
  <si>
    <t>玉桂林遁影</t>
  </si>
  <si>
    <t>奔月寻月神</t>
  </si>
  <si>
    <t>月宫遇贵人</t>
  </si>
  <si>
    <t>幽都父怒临</t>
  </si>
  <si>
    <t>梦醒桂香盈</t>
  </si>
  <si>
    <t>At_An_Name_10602</t>
  </si>
  <si>
    <t>At_An_Name_10603</t>
  </si>
  <si>
    <t>At_An_Name_10604</t>
  </si>
  <si>
    <t>At_An_Name_10605</t>
  </si>
  <si>
    <t>At_An_Name_10606</t>
  </si>
  <si>
    <t>At_An_Name_10607</t>
  </si>
  <si>
    <t>At_An_Name_10608</t>
  </si>
  <si>
    <t>At_An_Name_10609</t>
  </si>
  <si>
    <t>At_An_Name_10610</t>
  </si>
  <si>
    <t>At_An_Name_10611</t>
  </si>
  <si>
    <t>At_An_Name_10612</t>
  </si>
  <si>
    <t>At_An_Name_10613</t>
  </si>
  <si>
    <t>At_An_Name_10614</t>
  </si>
  <si>
    <t>At_An_Name_10615</t>
  </si>
  <si>
    <t>At_An_Name_10616</t>
  </si>
  <si>
    <t>通关主线[18-10]解锁</t>
  </si>
  <si>
    <t>通关主线[35-10]解锁</t>
  </si>
  <si>
    <t>通关主线[6-8]解锁</t>
    <phoneticPr fontId="15" type="noConversion"/>
  </si>
  <si>
    <t>通关主线[3-7]解锁</t>
  </si>
  <si>
    <t>通关主线[3-7]解锁</t>
    <phoneticPr fontId="15" type="noConversion"/>
  </si>
  <si>
    <t>At_Ch_Describe_1</t>
  </si>
  <si>
    <t>At_Ch_Describe_6</t>
  </si>
  <si>
    <t>At_Ch_Describe_8</t>
  </si>
  <si>
    <t>At_Ba_Name_5</t>
  </si>
  <si>
    <t>At_Vo_Text_2</t>
  </si>
  <si>
    <t>At_Ma_Describe_1</t>
  </si>
  <si>
    <t>At_An_Describe_2</t>
  </si>
  <si>
    <t>At_An_Describe_5</t>
  </si>
  <si>
    <t>At_An_Describe_8</t>
  </si>
  <si>
    <t>Atl_Ani_Name_20001</t>
  </si>
  <si>
    <t>Atl_Ani_Name_20101</t>
  </si>
  <si>
    <t>Atl_Ani_Name_20201</t>
  </si>
  <si>
    <t>Atl_Ani_Name_20301</t>
  </si>
  <si>
    <t>At_An_Name_2000</t>
  </si>
  <si>
    <t>UI/Sprite/PicBook/picbook_img_b_3_4</t>
  </si>
  <si>
    <t>UI/Sprite/PicBook/picbook_img4_1</t>
  </si>
  <si>
    <t>UI/Sprite/PicBook/picbook_img_b_4_1</t>
  </si>
  <si>
    <t>UI/Sprite/PicBook/picbook_img5_1</t>
  </si>
  <si>
    <t>通关主线[20-12]解锁</t>
  </si>
  <si>
    <t>UI/Sprite/PicBook/picbook_img_b_5_1</t>
  </si>
  <si>
    <t>UI/Sprite/PicBook/picbook_img5_2</t>
  </si>
  <si>
    <t>UI/Sprite/PicBook/picbook_img_b_5_2</t>
  </si>
  <si>
    <t>UI/Sprite/PicBook/picbook_img5_3</t>
  </si>
  <si>
    <t>UI/Sprite/PicBook/picbook_img_b_5_3</t>
  </si>
  <si>
    <t>UI/Sprite/PicBook/picbook_img5_4</t>
  </si>
  <si>
    <t>UI/Sprite/PicBook/picbook_img_b_5_4</t>
  </si>
  <si>
    <t>通关活动[夕月寻仙记]解锁</t>
  </si>
  <si>
    <t>致爱丽丝（上）</t>
    <phoneticPr fontId="15" type="noConversion"/>
  </si>
  <si>
    <t>回故乡吧（上）</t>
    <phoneticPr fontId="15" type="noConversion"/>
  </si>
  <si>
    <t>回故乡吧（下）</t>
    <phoneticPr fontId="15" type="noConversion"/>
  </si>
  <si>
    <t>At_Pi_description_1</t>
  </si>
  <si>
    <t>At_Pi_description_2</t>
  </si>
  <si>
    <t>At_Pi_description_3</t>
  </si>
  <si>
    <t>At_Pi_description_4</t>
  </si>
  <si>
    <t>At_Pi_description_5</t>
  </si>
  <si>
    <t>At_Pi_description_6</t>
  </si>
  <si>
    <t>At_Pi_description_7</t>
  </si>
  <si>
    <t>At_Pi_description_8</t>
  </si>
  <si>
    <t>At_Pi_Describe_9</t>
  </si>
  <si>
    <t>At_Pi_description_9</t>
  </si>
  <si>
    <t>At_Pi_Describe_10</t>
  </si>
  <si>
    <t>At_Pi_description_10</t>
  </si>
  <si>
    <t>At_Pi_Describe_11</t>
  </si>
  <si>
    <t>At_Pi_description_11</t>
  </si>
  <si>
    <t>At_Pi_Describe_12</t>
  </si>
  <si>
    <t>At_Pi_description_12</t>
  </si>
  <si>
    <t>At_Pi_Describe_13</t>
  </si>
  <si>
    <t>At_Pi_description_13</t>
  </si>
  <si>
    <t>At_Pi_Describe_14</t>
  </si>
  <si>
    <t>At_Pi_description_14</t>
  </si>
  <si>
    <t>At_Pi_Describe_15</t>
  </si>
  <si>
    <t>At_Pi_description_15</t>
  </si>
  <si>
    <t>At_Pi_Describe_16</t>
  </si>
  <si>
    <t>At_Pi_description_16</t>
  </si>
  <si>
    <t>At_Pi_Describe_17</t>
  </si>
  <si>
    <t>At_Pi_description_17</t>
  </si>
  <si>
    <t>At_Pi_Describe_18</t>
  </si>
  <si>
    <t>At_Pi_description_18</t>
  </si>
  <si>
    <t>At_Pi_Describe_19</t>
  </si>
  <si>
    <t>At_Pi_description_19</t>
  </si>
  <si>
    <t>At_Pi_Describe_20</t>
  </si>
  <si>
    <t>At_Pi_description_20</t>
  </si>
  <si>
    <t>At_Pi_Describe_21</t>
  </si>
  <si>
    <t>At_Pi_description_21</t>
  </si>
  <si>
    <t>At_Pi_Describe_22</t>
  </si>
  <si>
    <t>At_Pi_description_22</t>
  </si>
  <si>
    <t>At_Pi_Describe_23</t>
  </si>
  <si>
    <t>At_Pi_description_23</t>
  </si>
  <si>
    <t>At_Pi_Describe_24</t>
  </si>
  <si>
    <t>At_Pi_description_24</t>
  </si>
  <si>
    <t>At_Pi_Describe_25</t>
  </si>
  <si>
    <t>At_Pi_description_25</t>
  </si>
  <si>
    <t>At_Pi_Describe_26</t>
  </si>
  <si>
    <t>At_Pi_description_26</t>
  </si>
  <si>
    <t>At_Pi_Describe_27</t>
  </si>
  <si>
    <t>At_Pi_description_27</t>
  </si>
  <si>
    <t>At_Pi_Describe_28</t>
  </si>
  <si>
    <t>At_Pi_description_28</t>
  </si>
  <si>
    <t>名侦探包姃是团队的主心骨。她不但有勇有谋，还是天生的领导者，这位美艳御姐，将名动天下的“南侠”展妱，京都第一才女公孙荝都收归麾下，并创办了开封侦探团，解决东国各地的大小案件，逐渐声名显赫。\n某天，侦探团收到了曾与展妱并称为“北侠”欧阳椿的求救委托，新的故事即将展开……</t>
  </si>
  <si>
    <t>At_An_Name_2703</t>
  </si>
  <si>
    <t>At_An_Name_2704</t>
  </si>
  <si>
    <t>UI/Sprite/Loading/loading_activitybg_5</t>
    <phoneticPr fontId="15" type="noConversion"/>
  </si>
  <si>
    <t>At_An_Describe_20401</t>
    <phoneticPr fontId="15" type="noConversion"/>
  </si>
  <si>
    <t>Atl_Ani_Name_10105</t>
    <phoneticPr fontId="15" type="noConversion"/>
  </si>
  <si>
    <t>夕月寻仙记</t>
  </si>
  <si>
    <t>月亮之上</t>
  </si>
  <si>
    <t>少女乘着千盏灯火，奔向月亮，但这一次月亮之上并不孤独。</t>
  </si>
  <si>
    <t>抗暴率</t>
  </si>
  <si>
    <t>抗暴率</t>
    <phoneticPr fontId="15" type="noConversion"/>
  </si>
  <si>
    <t>生命</t>
    <phoneticPr fontId="15" type="noConversion"/>
  </si>
  <si>
    <t>攻击</t>
    <phoneticPr fontId="15" type="noConversion"/>
  </si>
  <si>
    <t>1=1200,2=40</t>
  </si>
  <si>
    <t>1=1500,2=50</t>
  </si>
  <si>
    <t>1=1800,2=60</t>
  </si>
  <si>
    <t>1=900,2=30</t>
  </si>
  <si>
    <t>1=2250,2=75</t>
  </si>
  <si>
    <t>编组1</t>
  </si>
  <si>
    <t>3/4/5/13/14</t>
  </si>
  <si>
    <t>5星</t>
  </si>
  <si>
    <t>10星</t>
  </si>
  <si>
    <t>15星</t>
  </si>
  <si>
    <t>20星</t>
  </si>
  <si>
    <t>25星</t>
  </si>
  <si>
    <t>30星</t>
  </si>
  <si>
    <t>35星</t>
  </si>
  <si>
    <t>40星</t>
  </si>
  <si>
    <t>编组2</t>
  </si>
  <si>
    <t>1/6/7/8/11</t>
  </si>
  <si>
    <t>编组3</t>
  </si>
  <si>
    <t>2/9/10/12/15</t>
    <phoneticPr fontId="15" type="noConversion"/>
  </si>
  <si>
    <t>爆伤减免</t>
  </si>
  <si>
    <t>属性加成</t>
    <phoneticPr fontId="15" type="noConversion"/>
  </si>
  <si>
    <t>1=2000,3=100</t>
  </si>
  <si>
    <t>1=2000,5=100</t>
  </si>
  <si>
    <t>1=3200,3=160</t>
  </si>
  <si>
    <t>1=3200,5=160</t>
  </si>
  <si>
    <t>1=4000,3=200</t>
  </si>
  <si>
    <t>1=4000,5=200</t>
  </si>
  <si>
    <t>1=5000,3=250</t>
  </si>
  <si>
    <t>1=5000,5=250</t>
  </si>
  <si>
    <t>2=100,3=100</t>
  </si>
  <si>
    <t>2=100,5=100</t>
  </si>
  <si>
    <t>2=160,3=160</t>
  </si>
  <si>
    <t>2=160,5=160</t>
  </si>
  <si>
    <t>2=200,3=200</t>
  </si>
  <si>
    <t>2=200,5=200</t>
  </si>
  <si>
    <t>2=250,3=250</t>
  </si>
  <si>
    <t>2=250,5=250</t>
  </si>
  <si>
    <t>3=100,5=100</t>
  </si>
  <si>
    <t>1=2000,2=100</t>
  </si>
  <si>
    <t>3=160,5=160</t>
  </si>
  <si>
    <t>1=3200,2=160</t>
  </si>
  <si>
    <t>3=200,5=200</t>
  </si>
  <si>
    <t>1=4000,2=200</t>
  </si>
  <si>
    <t>3=250,5=250</t>
  </si>
  <si>
    <t>1=5000,2=250</t>
  </si>
  <si>
    <t>Atl_Ani_Name_2005</t>
    <phoneticPr fontId="15" type="noConversion"/>
  </si>
  <si>
    <t>UI/Sprite/PicBook/cover_img_19_s</t>
    <phoneticPr fontId="15" type="noConversion"/>
  </si>
  <si>
    <t>UI/Sprite/PicBook/cover_img_19</t>
    <phoneticPr fontId="15" type="noConversion"/>
  </si>
  <si>
    <t>落跑蓝宝石</t>
    <phoneticPr fontId="15" type="noConversion"/>
  </si>
  <si>
    <t>At_An_Name_20501</t>
    <phoneticPr fontId="15" type="noConversion"/>
  </si>
  <si>
    <t>At_An_Name_20502</t>
  </si>
  <si>
    <t>At_An_Name_20503</t>
  </si>
  <si>
    <t>At_An_Name_20504</t>
  </si>
  <si>
    <t>At_An_Name_20505</t>
  </si>
  <si>
    <t>At_An_Name_20506</t>
  </si>
  <si>
    <t>At_An_Name_20507</t>
  </si>
  <si>
    <t>At_An_Name_20508</t>
  </si>
  <si>
    <t>ch1.“幸运”的相遇</t>
    <phoneticPr fontId="15" type="noConversion"/>
  </si>
  <si>
    <t>ch2.无法启航的船</t>
    <phoneticPr fontId="15" type="noConversion"/>
  </si>
  <si>
    <t>ch3.兔子洞奇遇</t>
    <phoneticPr fontId="15" type="noConversion"/>
  </si>
  <si>
    <t>ch4.肯奈特海盗</t>
    <phoneticPr fontId="15" type="noConversion"/>
  </si>
  <si>
    <t>ch5.让风浪更猛烈</t>
    <phoneticPr fontId="15" type="noConversion"/>
  </si>
  <si>
    <t>ch6.糖果屋拾遗</t>
    <phoneticPr fontId="15" type="noConversion"/>
  </si>
  <si>
    <t>ch7.尘封的真相</t>
    <phoneticPr fontId="15" type="noConversion"/>
  </si>
  <si>
    <t>ch8.去绽放光芒吧</t>
    <phoneticPr fontId="15" type="noConversion"/>
  </si>
  <si>
    <t>“幸运”的相遇</t>
  </si>
  <si>
    <t>克雷是什么</t>
  </si>
  <si>
    <t>新的好友</t>
  </si>
  <si>
    <t>肯奈特海盗</t>
  </si>
  <si>
    <t>意外委托</t>
  </si>
  <si>
    <t>变异的庄园</t>
  </si>
  <si>
    <t>梦游仙境</t>
  </si>
  <si>
    <t>上贼船了</t>
  </si>
  <si>
    <t>被封印的宝箱</t>
  </si>
  <si>
    <t>糖果屋</t>
  </si>
  <si>
    <t>脱轨的剧情</t>
  </si>
  <si>
    <t>记忆线索</t>
  </si>
  <si>
    <t>昨日重现</t>
  </si>
  <si>
    <t>又是你</t>
  </si>
  <si>
    <t>作茧自缚</t>
  </si>
  <si>
    <t>逃跑有一就有二</t>
  </si>
  <si>
    <t>“幸运”的相遇</t>
    <phoneticPr fontId="15" type="noConversion"/>
  </si>
  <si>
    <t>无法启航的船</t>
  </si>
  <si>
    <t>兔子洞奇遇</t>
  </si>
  <si>
    <t>让风浪更猛烈</t>
  </si>
  <si>
    <t>糖果屋拾遗</t>
  </si>
  <si>
    <t>尘封的真相</t>
  </si>
  <si>
    <t>去绽放光芒吧</t>
  </si>
  <si>
    <t>At_An_Name_10701</t>
    <phoneticPr fontId="15" type="noConversion"/>
  </si>
  <si>
    <t>At_An_Name_10702</t>
  </si>
  <si>
    <t>At_An_Name_10703</t>
  </si>
  <si>
    <t>At_An_Name_10704</t>
  </si>
  <si>
    <t>At_An_Name_10705</t>
  </si>
  <si>
    <t>At_An_Name_10706</t>
  </si>
  <si>
    <t>At_An_Name_10707</t>
  </si>
  <si>
    <t>At_An_Name_10708</t>
  </si>
  <si>
    <t>At_An_Name_10709</t>
  </si>
  <si>
    <t>At_An_Name_10710</t>
  </si>
  <si>
    <t>At_An_Name_10711</t>
  </si>
  <si>
    <t>At_An_Name_10712</t>
  </si>
  <si>
    <t>At_An_Name_10713</t>
  </si>
  <si>
    <t>At_An_Name_10714</t>
  </si>
  <si>
    <t>At_An_Name_10715</t>
  </si>
  <si>
    <t>At_An_Name_10716</t>
  </si>
  <si>
    <t>一起走吧</t>
  </si>
  <si>
    <t>Atl_Ani_Name_10106</t>
    <phoneticPr fontId="15" type="noConversion"/>
  </si>
  <si>
    <t>UI/Sprite/Loading/loading_activitybg_6</t>
    <phoneticPr fontId="15" type="noConversion"/>
  </si>
  <si>
    <t>At_An_Describe_20501</t>
    <phoneticPr fontId="15" type="noConversion"/>
  </si>
  <si>
    <t>一起走吧，蒂比。从此你的未来不再是孤身一人的“逃跑”，而是与伙伴们一起的“冒险”。</t>
  </si>
  <si>
    <t>ch2.孤船灯火盈</t>
    <phoneticPr fontId="15" type="noConversion"/>
  </si>
  <si>
    <t>ch3.险处总关情</t>
    <phoneticPr fontId="15" type="noConversion"/>
  </si>
  <si>
    <t>ch4.喧歌鱼龙庆</t>
    <phoneticPr fontId="15" type="noConversion"/>
  </si>
  <si>
    <t>ch5.绣球启幻境</t>
    <phoneticPr fontId="15" type="noConversion"/>
  </si>
  <si>
    <t>ch6.玉卿不负卿</t>
    <phoneticPr fontId="15" type="noConversion"/>
  </si>
  <si>
    <t>At_In_Describe_23</t>
  </si>
  <si>
    <t>Atl_Ani_Name_20401</t>
  </si>
  <si>
    <t>Atl_Ani_Name_20501</t>
  </si>
  <si>
    <t>ch6.我们的赌约</t>
    <phoneticPr fontId="15" type="noConversion"/>
  </si>
  <si>
    <t>ch6.绯夜终明</t>
    <phoneticPr fontId="15" type="noConversion"/>
  </si>
  <si>
    <t>ch4.惊魂记</t>
    <phoneticPr fontId="15" type="noConversion"/>
  </si>
  <si>
    <t>ch5.污秽根源</t>
    <phoneticPr fontId="15" type="noConversion"/>
  </si>
  <si>
    <t>ch6.温泉乡？温柔乡！</t>
    <phoneticPr fontId="15" type="noConversion"/>
  </si>
  <si>
    <t>此刻团长饱览雪花之下的温泉乡“最美风景”，或许这招能用来招揽客人？</t>
    <phoneticPr fontId="15" type="noConversion"/>
  </si>
  <si>
    <t>-160=-70,-530=-300,260=-300,-430=215,84=215</t>
    <phoneticPr fontId="15" type="noConversion"/>
  </si>
  <si>
    <t>-90=0,240=-240,-500=-280,-350=200</t>
    <phoneticPr fontId="15" type="noConversion"/>
  </si>
  <si>
    <t>高优资源路径</t>
    <phoneticPr fontId="15" type="noConversion"/>
  </si>
  <si>
    <t>PrimaryResource</t>
    <phoneticPr fontId="15" type="noConversion"/>
  </si>
  <si>
    <t>神祇的试炼</t>
  </si>
  <si>
    <t>UI/Sprite/PicBook/cover_img_20_s</t>
    <phoneticPr fontId="15" type="noConversion"/>
  </si>
  <si>
    <t>UI/Sprite/PicBook/cover_img_20</t>
    <phoneticPr fontId="15" type="noConversion"/>
  </si>
  <si>
    <t>At_An_Name_20601</t>
    <phoneticPr fontId="15" type="noConversion"/>
  </si>
  <si>
    <t>Atl_Ani_Name_2006</t>
    <phoneticPr fontId="15" type="noConversion"/>
  </si>
  <si>
    <t>At_An_Name_20602</t>
  </si>
  <si>
    <t>At_An_Name_20603</t>
  </si>
  <si>
    <t>At_An_Name_20604</t>
  </si>
  <si>
    <t>At_An_Name_20605</t>
  </si>
  <si>
    <t>At_An_Name_20606</t>
  </si>
  <si>
    <t>ch1.感谢祭</t>
    <phoneticPr fontId="15" type="noConversion"/>
  </si>
  <si>
    <t>ch2.三神试炼</t>
    <phoneticPr fontId="15" type="noConversion"/>
  </si>
  <si>
    <t>ch3.试炼其一：森之歌</t>
    <phoneticPr fontId="15" type="noConversion"/>
  </si>
  <si>
    <t>ch4.试炼其二：时之歌</t>
    <phoneticPr fontId="15" type="noConversion"/>
  </si>
  <si>
    <t>ch5.试炼其三：镜之歌</t>
    <phoneticPr fontId="15" type="noConversion"/>
  </si>
  <si>
    <t>ch6.见习巫女</t>
    <phoneticPr fontId="15" type="noConversion"/>
  </si>
  <si>
    <t>感谢祭</t>
  </si>
  <si>
    <t>重要的事</t>
  </si>
  <si>
    <t>新的委托</t>
  </si>
  <si>
    <t>三神试炼</t>
  </si>
  <si>
    <t>迷途之森</t>
  </si>
  <si>
    <t>迷途之森的出路</t>
  </si>
  <si>
    <t>遗忘之时</t>
  </si>
  <si>
    <t>一同入梦</t>
  </si>
  <si>
    <t>遗忘之时的泡影</t>
  </si>
  <si>
    <t>御神镜</t>
  </si>
  <si>
    <t>怀念之人</t>
  </si>
  <si>
    <t>镜中之人的倒影</t>
  </si>
  <si>
    <t>千年之旅</t>
  </si>
  <si>
    <t>无力的巫女</t>
  </si>
  <si>
    <t>真正的力量</t>
  </si>
  <si>
    <t>见习巫女</t>
  </si>
  <si>
    <t>试炼其一：森之歌</t>
  </si>
  <si>
    <t>试炼其二：时之歌</t>
  </si>
  <si>
    <t>试炼其三：镜之歌</t>
  </si>
  <si>
    <t>At_An_Name_10801</t>
    <phoneticPr fontId="15" type="noConversion"/>
  </si>
  <si>
    <t>At_An_Name_10802</t>
  </si>
  <si>
    <t>At_An_Name_10803</t>
  </si>
  <si>
    <t>At_An_Name_10804</t>
  </si>
  <si>
    <t>At_An_Name_10805</t>
  </si>
  <si>
    <t>At_An_Name_10806</t>
  </si>
  <si>
    <t>At_An_Name_10807</t>
  </si>
  <si>
    <t>At_An_Name_10808</t>
  </si>
  <si>
    <t>At_An_Name_10809</t>
  </si>
  <si>
    <t>At_An_Name_10810</t>
  </si>
  <si>
    <t>At_An_Name_10811</t>
  </si>
  <si>
    <t>At_An_Name_10812</t>
  </si>
  <si>
    <t>At_An_Name_10813</t>
  </si>
  <si>
    <t>At_An_Name_10814</t>
  </si>
  <si>
    <t>At_An_Name_10815</t>
  </si>
  <si>
    <t>At_An_Name_10816</t>
  </si>
  <si>
    <t>冒失的白兔</t>
  </si>
  <si>
    <t>Atl_Ani_Name_10107</t>
    <phoneticPr fontId="15" type="noConversion"/>
  </si>
  <si>
    <t>UI/Sprite/Loading/loading_activitybg_7</t>
  </si>
  <si>
    <t>At_An_Describe_20601</t>
    <phoneticPr fontId="15" type="noConversion"/>
  </si>
  <si>
    <t>冒失的巫女从台阶顶上一跃而下，飞扑进团长的臂弯。她的心脏像害羞的白兔，咚咚地跃动不停。</t>
  </si>
  <si>
    <t>Atl_Ani_Name_20601</t>
  </si>
  <si>
    <t>狸妖百变  醺梦千年</t>
  </si>
  <si>
    <t>狸妖百变  醺梦千年</t>
    <phoneticPr fontId="15" type="noConversion"/>
  </si>
  <si>
    <t>UI/Sprite/PicBook/cover_img_21_s</t>
    <phoneticPr fontId="15" type="noConversion"/>
  </si>
  <si>
    <t>UI/Sprite/PicBook/cover_img_21</t>
    <phoneticPr fontId="15" type="noConversion"/>
  </si>
  <si>
    <t>Atl_Ani_Name_20701</t>
  </si>
  <si>
    <t>At_An_Name_20702</t>
  </si>
  <si>
    <t>At_An_Name_20703</t>
  </si>
  <si>
    <t>At_An_Name_20704</t>
  </si>
  <si>
    <t>At_An_Name_20705</t>
  </si>
  <si>
    <t>At_An_Name_20706</t>
    <phoneticPr fontId="15" type="noConversion"/>
  </si>
  <si>
    <t>ch1.百变狸生</t>
    <phoneticPr fontId="15" type="noConversion"/>
  </si>
  <si>
    <t>ch2.一杯梦回</t>
    <phoneticPr fontId="15" type="noConversion"/>
  </si>
  <si>
    <t>ch3.败逃之狸</t>
    <phoneticPr fontId="15" type="noConversion"/>
  </si>
  <si>
    <t>ch4.狐与狸</t>
    <phoneticPr fontId="15" type="noConversion"/>
  </si>
  <si>
    <t>ch5.封印落成</t>
    <phoneticPr fontId="15" type="noConversion"/>
  </si>
  <si>
    <t>ch6.南柯一梦</t>
    <phoneticPr fontId="15" type="noConversion"/>
  </si>
  <si>
    <t>Atl_Ani_Name_10108</t>
    <phoneticPr fontId="15" type="noConversion"/>
  </si>
  <si>
    <t>At_An_Name_10901</t>
  </si>
  <si>
    <t>At_An_Name_10902</t>
  </si>
  <si>
    <t>At_An_Name_10903</t>
  </si>
  <si>
    <t>At_An_Name_10904</t>
  </si>
  <si>
    <t>At_An_Name_10905</t>
  </si>
  <si>
    <t>At_An_Name_10906</t>
  </si>
  <si>
    <t>At_An_Name_10907</t>
  </si>
  <si>
    <t>At_An_Name_10908</t>
  </si>
  <si>
    <t>At_An_Name_10909</t>
  </si>
  <si>
    <t>At_An_Name_10910</t>
  </si>
  <si>
    <t>At_An_Name_10911</t>
  </si>
  <si>
    <t>At_An_Name_10912</t>
  </si>
  <si>
    <t>百变狸生</t>
  </si>
  <si>
    <t>一杯梦回</t>
  </si>
  <si>
    <t>败逃之狸</t>
  </si>
  <si>
    <t>狐与狸</t>
  </si>
  <si>
    <t>封印落成</t>
  </si>
  <si>
    <t>南柯一梦</t>
  </si>
  <si>
    <t>恶作剧</t>
  </si>
  <si>
    <t>千年梦回</t>
  </si>
  <si>
    <t>小狸猫</t>
  </si>
  <si>
    <t>背井离乡</t>
  </si>
  <si>
    <t>如此妙用</t>
  </si>
  <si>
    <t>逐梦之狸</t>
  </si>
  <si>
    <t>宿敌就是宿敌啊</t>
  </si>
  <si>
    <t>嬉笑争锋</t>
  </si>
  <si>
    <t>握手言和</t>
  </si>
  <si>
    <t>皆大欢喜？</t>
  </si>
  <si>
    <t>最讨厌酒鬼了！</t>
  </si>
  <si>
    <t>如梦初醒</t>
  </si>
  <si>
    <t>At_An_Name_20701</t>
    <phoneticPr fontId="15" type="noConversion"/>
  </si>
  <si>
    <t>不醉不归</t>
  </si>
  <si>
    <t>UI/Sprite/Loading/loading_activitybg_8</t>
    <phoneticPr fontId="15" type="noConversion"/>
  </si>
  <si>
    <t>At_An_Describe_20701</t>
    <phoneticPr fontId="15" type="noConversion"/>
  </si>
  <si>
    <t>当葉月老板娘喝到汗水和美酒不分彼此的状态时，团长就该知道，今夜只能不醉不归。</t>
  </si>
  <si>
    <t>3=300,5=300</t>
    <phoneticPr fontId="15" type="noConversion"/>
  </si>
  <si>
    <t>1=6000,2=300</t>
    <phoneticPr fontId="15" type="noConversion"/>
  </si>
  <si>
    <t>音乐节劫案</t>
  </si>
  <si>
    <t>UI/Sprite/PicBook/cover_img_22_s</t>
  </si>
  <si>
    <t>UI/Sprite/PicBook/cover_img_22</t>
  </si>
  <si>
    <t>At_An_Name_20801</t>
  </si>
  <si>
    <t>At_An_Name_20802</t>
  </si>
  <si>
    <t>At_An_Name_20803</t>
  </si>
  <si>
    <t>At_An_Name_20804</t>
  </si>
  <si>
    <t>At_An_Name_20805</t>
  </si>
  <si>
    <t>At_An_Name_20806</t>
  </si>
  <si>
    <t>ch1.追星奇遇</t>
    <phoneticPr fontId="15" type="noConversion"/>
  </si>
  <si>
    <t>ch2.偶像大劫案</t>
    <phoneticPr fontId="15" type="noConversion"/>
  </si>
  <si>
    <t>ch3.一场私奔</t>
    <phoneticPr fontId="15" type="noConversion"/>
  </si>
  <si>
    <t>ch4.汹涌心潮</t>
    <phoneticPr fontId="15" type="noConversion"/>
  </si>
  <si>
    <t>ch5.闪耀对决</t>
    <phoneticPr fontId="15" type="noConversion"/>
  </si>
  <si>
    <t>ch6.完美终场</t>
    <phoneticPr fontId="15" type="noConversion"/>
  </si>
  <si>
    <t>Atl_Ani_Name_10109</t>
  </si>
  <si>
    <t>At_An_Name_11001</t>
  </si>
  <si>
    <t>At_An_Name_11002</t>
  </si>
  <si>
    <t>At_An_Name_11003</t>
  </si>
  <si>
    <t>At_An_Name_11004</t>
  </si>
  <si>
    <t>At_An_Name_11005</t>
  </si>
  <si>
    <t>At_An_Name_11006</t>
  </si>
  <si>
    <t>At_An_Name_11007</t>
  </si>
  <si>
    <t>At_An_Name_11008</t>
  </si>
  <si>
    <t>At_An_Name_11009</t>
  </si>
  <si>
    <t>At_An_Name_11010</t>
  </si>
  <si>
    <t>At_An_Name_11011</t>
  </si>
  <si>
    <t>At_An_Name_11012</t>
  </si>
  <si>
    <t>星港之约</t>
  </si>
  <si>
    <t>后台风云</t>
  </si>
  <si>
    <t>突发案件</t>
  </si>
  <si>
    <t>旗舰线索</t>
  </si>
  <si>
    <t>暗流涌动</t>
  </si>
  <si>
    <t>合谋真相</t>
  </si>
  <si>
    <t>海盗的礼仪</t>
  </si>
  <si>
    <t>心中的乐园</t>
  </si>
  <si>
    <t>女王的实力</t>
  </si>
  <si>
    <t>往日的阴影</t>
  </si>
  <si>
    <t>偶像对决</t>
  </si>
  <si>
    <t>天使降临</t>
  </si>
  <si>
    <t>追星奇遇</t>
  </si>
  <si>
    <t>偶像大劫案</t>
  </si>
  <si>
    <t>一场私奔</t>
  </si>
  <si>
    <t>汹涌心潮</t>
  </si>
  <si>
    <t>闪耀对决</t>
  </si>
  <si>
    <t>完美终场</t>
  </si>
  <si>
    <t>在劫难逃</t>
  </si>
  <si>
    <t>At_An_Describe_20801</t>
  </si>
  <si>
    <t>舞台上的意外剧情，比普通歌舞演出更加吸睛。</t>
  </si>
  <si>
    <t>UI/Sprite/Loading/loading_activitybg_9</t>
    <phoneticPr fontId="15" type="noConversion"/>
  </si>
  <si>
    <t>关联SpineConfig表流水id</t>
    <phoneticPr fontId="15" type="noConversion"/>
  </si>
  <si>
    <t>Atl_Ani_Name_20801</t>
  </si>
  <si>
    <t>At_An_Name_2007</t>
  </si>
  <si>
    <t>At_An_Name_2008</t>
  </si>
  <si>
    <t>At_An_Name_2009</t>
  </si>
  <si>
    <t>夺宝奇航</t>
  </si>
  <si>
    <t>夺宝奇航</t>
    <phoneticPr fontId="15" type="noConversion"/>
  </si>
  <si>
    <t>UI/Sprite/PicBook/cover_img_23_s</t>
  </si>
  <si>
    <t>UI/Sprite/PicBook/cover_img_23</t>
  </si>
  <si>
    <t>Atl_Ani_Name_20901</t>
  </si>
  <si>
    <t>At_An_Name_20902</t>
  </si>
  <si>
    <t>At_An_Name_20903</t>
  </si>
  <si>
    <t>At_An_Name_20904</t>
  </si>
  <si>
    <t>At_An_Name_20905</t>
  </si>
  <si>
    <t>At_An_Name_20906</t>
  </si>
  <si>
    <t>ch1.意外之旅</t>
    <phoneticPr fontId="15" type="noConversion"/>
  </si>
  <si>
    <t>ch2.不后退的理由</t>
    <phoneticPr fontId="15" type="noConversion"/>
  </si>
  <si>
    <t>ch3.夺宝奇兵</t>
    <phoneticPr fontId="15" type="noConversion"/>
  </si>
  <si>
    <t>ch4.避其锋芒</t>
    <phoneticPr fontId="15" type="noConversion"/>
  </si>
  <si>
    <t>ch5.沉船的战场</t>
    <phoneticPr fontId="15" type="noConversion"/>
  </si>
  <si>
    <t>ch6.随海风飘散</t>
    <phoneticPr fontId="15" type="noConversion"/>
  </si>
  <si>
    <t>Atl_Ani_Name_10110</t>
  </si>
  <si>
    <t>At_An_Name_11101</t>
  </si>
  <si>
    <t>At_An_Name_11102</t>
  </si>
  <si>
    <t>At_An_Name_11103</t>
  </si>
  <si>
    <t>At_An_Name_11104</t>
  </si>
  <si>
    <t>At_An_Name_11105</t>
  </si>
  <si>
    <t>At_An_Name_11106</t>
  </si>
  <si>
    <t>At_An_Name_11107</t>
  </si>
  <si>
    <t>At_An_Name_11108</t>
  </si>
  <si>
    <t>At_An_Name_11109</t>
  </si>
  <si>
    <t>At_An_Name_11110</t>
  </si>
  <si>
    <t>At_An_Name_11111</t>
  </si>
  <si>
    <t>At_An_Name_11112</t>
  </si>
  <si>
    <t>意外之旅</t>
  </si>
  <si>
    <t>不后退的理由</t>
  </si>
  <si>
    <t>夺宝奇兵</t>
  </si>
  <si>
    <t>避其锋芒</t>
  </si>
  <si>
    <t>沉船的战场</t>
  </si>
  <si>
    <t>随海风飘散</t>
  </si>
  <si>
    <t>上了贼船</t>
  </si>
  <si>
    <t>遭遇偷袭</t>
  </si>
  <si>
    <t>冲锋！接舷！</t>
  </si>
  <si>
    <t>决不放弃</t>
  </si>
  <si>
    <t>打入内部</t>
  </si>
  <si>
    <t>秘宝的真相</t>
  </si>
  <si>
    <t>逃出生天</t>
  </si>
  <si>
    <t>消失的船</t>
  </si>
  <si>
    <t>反攻开始</t>
  </si>
  <si>
    <t>结社的反扑</t>
  </si>
  <si>
    <t>海盗之王？</t>
  </si>
  <si>
    <t>新的约定</t>
  </si>
  <si>
    <t>At_An_Name_20901</t>
  </si>
  <si>
    <t>我的主场</t>
    <phoneticPr fontId="15" type="noConversion"/>
  </si>
  <si>
    <t>UI/Sprite/Loading/loading_activitybg_10</t>
  </si>
  <si>
    <t>At_An_Describe_20901</t>
  </si>
  <si>
    <t>海上街溜子岂是浪得虚名，粼粼波光反射的可是蔻尔娜的闪耀时刻。</t>
  </si>
  <si>
    <t>At_An_Name_2010</t>
    <phoneticPr fontId="15" type="noConversion"/>
  </si>
  <si>
    <t>约定的新生</t>
  </si>
  <si>
    <t>UI/Sprite/PicBook/cover_img_24_s</t>
    <phoneticPr fontId="15" type="noConversion"/>
  </si>
  <si>
    <t>UI/Sprite/PicBook/cover_img_24</t>
    <phoneticPr fontId="15" type="noConversion"/>
  </si>
  <si>
    <t>Atl_Ani_Name_21001</t>
  </si>
  <si>
    <t>ch1.暗中勾兑</t>
    <phoneticPr fontId="15" type="noConversion"/>
  </si>
  <si>
    <t>At_An_Name_21002</t>
  </si>
  <si>
    <t>ch2.纠葛难解</t>
    <phoneticPr fontId="15" type="noConversion"/>
  </si>
  <si>
    <t>At_An_Name_21003</t>
  </si>
  <si>
    <t>ch3.深夜之变</t>
    <phoneticPr fontId="15" type="noConversion"/>
  </si>
  <si>
    <t>At_An_Name_21004</t>
  </si>
  <si>
    <t>ch4.似是前世</t>
    <phoneticPr fontId="15" type="noConversion"/>
  </si>
  <si>
    <t>At_An_Name_21005</t>
  </si>
  <si>
    <t>ch5.不羁的魂灵</t>
    <phoneticPr fontId="15" type="noConversion"/>
  </si>
  <si>
    <t>At_An_Name_21006</t>
  </si>
  <si>
    <t>ch6.约定的新生</t>
    <phoneticPr fontId="15" type="noConversion"/>
  </si>
  <si>
    <t>Atl_Ani_Name_10111</t>
    <phoneticPr fontId="15" type="noConversion"/>
  </si>
  <si>
    <t>At_An_Name_11201</t>
  </si>
  <si>
    <t>魔鬼的密会</t>
  </si>
  <si>
    <t>暗中勾兑</t>
  </si>
  <si>
    <t>At_An_Name_11202</t>
  </si>
  <si>
    <t>别无选择</t>
  </si>
  <si>
    <t>At_An_Name_11203</t>
  </si>
  <si>
    <t>意外之援</t>
  </si>
  <si>
    <t>纠葛难解</t>
  </si>
  <si>
    <t>At_An_Name_11204</t>
  </si>
  <si>
    <t>不能说的秘密</t>
  </si>
  <si>
    <t>At_An_Name_11205</t>
  </si>
  <si>
    <t>追根溯源</t>
  </si>
  <si>
    <t>深夜之变</t>
  </si>
  <si>
    <t>At_An_Name_11206</t>
  </si>
  <si>
    <t>迅疾营救</t>
  </si>
  <si>
    <t>At_An_Name_11207</t>
  </si>
  <si>
    <t>美好的初遇</t>
  </si>
  <si>
    <t>似是前世</t>
  </si>
  <si>
    <t>At_An_Name_11208</t>
  </si>
  <si>
    <t>不幸的结局</t>
  </si>
  <si>
    <t>At_An_Name_11209</t>
  </si>
  <si>
    <t>不愿说的真相</t>
  </si>
  <si>
    <t>不羁的魂灵</t>
  </si>
  <si>
    <t>At_An_Name_11210</t>
  </si>
  <si>
    <t>无可接受的命运</t>
  </si>
  <si>
    <t>At_An_Name_11211</t>
  </si>
  <si>
    <t>新的开始</t>
  </si>
  <si>
    <t>At_An_Name_11212</t>
  </si>
  <si>
    <t>新的未来</t>
  </si>
  <si>
    <t>约定的新生</t>
    <phoneticPr fontId="15" type="noConversion"/>
  </si>
  <si>
    <t>At_An_Name_21001</t>
  </si>
  <si>
    <t>社会人士的魅力</t>
  </si>
  <si>
    <t>UI/Sprite/Loading/loading_activitybg_11</t>
  </si>
  <si>
    <t>At_An_Describe_21001</t>
  </si>
  <si>
    <t>包臀裙、丝袜和办公室可是专属于职场女性的独特魅力，结社创造的诺克黛尔小姐，Goodjob！</t>
  </si>
  <si>
    <t>At_An_Name_2011</t>
  </si>
  <si>
    <t>子夜游戏 禁忌之宴</t>
  </si>
  <si>
    <t>UI/Sprite/PicBook/cover_img_25_s</t>
  </si>
  <si>
    <t>UI/Sprite/PicBook/cover_img_25</t>
  </si>
  <si>
    <t>ch1.暗夜邀请函</t>
    <phoneticPr fontId="15" type="noConversion"/>
  </si>
  <si>
    <t>ch2.假面晚宴</t>
    <phoneticPr fontId="15" type="noConversion"/>
  </si>
  <si>
    <t>ch3.深渊之影</t>
    <phoneticPr fontId="15" type="noConversion"/>
  </si>
  <si>
    <t>ch4.女皇的博弈</t>
    <phoneticPr fontId="15" type="noConversion"/>
  </si>
  <si>
    <t>ch5.月下夺心</t>
    <phoneticPr fontId="15" type="noConversion"/>
  </si>
  <si>
    <t>ch6.余波与秘约</t>
    <phoneticPr fontId="15" type="noConversion"/>
  </si>
  <si>
    <t>Atl_Ani_Name_10112</t>
  </si>
  <si>
    <t>子夜游戏 禁忌之宴</t>
    <phoneticPr fontId="15" type="noConversion"/>
  </si>
  <si>
    <t>At_An_Name_11301</t>
  </si>
  <si>
    <t>深夜的邀请函</t>
  </si>
  <si>
    <t>暗夜邀请函</t>
  </si>
  <si>
    <t>At_An_Name_11302</t>
  </si>
  <si>
    <t>变装与情报</t>
  </si>
  <si>
    <t>At_An_Name_11303</t>
  </si>
  <si>
    <t>宴会厅的暗流</t>
  </si>
  <si>
    <t>假面晚宴</t>
  </si>
  <si>
    <t>At_An_Name_11304</t>
  </si>
  <si>
    <t>潜入庄园</t>
  </si>
  <si>
    <t>At_An_Name_11305</t>
  </si>
  <si>
    <t>罪恶的庄园</t>
  </si>
  <si>
    <t>深渊之影</t>
  </si>
  <si>
    <t>At_An_Name_11306</t>
  </si>
  <si>
    <t>地牢中的孩子</t>
  </si>
  <si>
    <t>At_An_Name_11307</t>
  </si>
  <si>
    <t>祭坛上的危机</t>
  </si>
  <si>
    <t>女皇的博弈</t>
  </si>
  <si>
    <t>At_An_Name_11308</t>
  </si>
  <si>
    <t>真面目</t>
  </si>
  <si>
    <t>At_An_Name_11309</t>
  </si>
  <si>
    <t>夺心与复仇</t>
  </si>
  <si>
    <t>月下夺心</t>
  </si>
  <si>
    <t>At_An_Name_11310</t>
  </si>
  <si>
    <t>真假秘宝</t>
  </si>
  <si>
    <t>At_An_Name_11311</t>
  </si>
  <si>
    <t>共斗</t>
  </si>
  <si>
    <t>余波与秘约</t>
  </si>
  <si>
    <t>At_An_Name_11312</t>
  </si>
  <si>
    <t>白雪山庄的新主人</t>
  </si>
  <si>
    <t>At_An_Name_21101</t>
  </si>
  <si>
    <t>是锁链，也是红线</t>
  </si>
  <si>
    <t>UI/Sprite/Loading/loading_activitybg_12</t>
  </si>
  <si>
    <t>At_An_Describe_21101</t>
  </si>
  <si>
    <t>顺从还是反抗？这从来不是一个难以抉择的问题。</t>
  </si>
  <si>
    <t>46|31|39|34</t>
    <phoneticPr fontId="15" type="noConversion"/>
  </si>
  <si>
    <t>35|47|17|18</t>
    <phoneticPr fontId="15" type="noConversion"/>
  </si>
  <si>
    <t>8|10|41</t>
    <phoneticPr fontId="15" type="noConversion"/>
  </si>
  <si>
    <t>-47=-376,-390=-325,-438=-45,141=-96</t>
    <phoneticPr fontId="15" type="noConversion"/>
  </si>
  <si>
    <t>160=-280,-330=-270,-580=180,250=210</t>
    <phoneticPr fontId="15" type="noConversion"/>
  </si>
  <si>
    <t>-160=-166,-438=5,165=-56</t>
    <phoneticPr fontId="15" type="noConversion"/>
  </si>
  <si>
    <t>49|44|15</t>
    <phoneticPr fontId="15" type="noConversion"/>
  </si>
  <si>
    <t>150=-252,166=119,-200=170</t>
    <phoneticPr fontId="15" type="noConversion"/>
  </si>
  <si>
    <t>64|51|12|37</t>
    <phoneticPr fontId="15" type="noConversion"/>
  </si>
  <si>
    <t>136=-360,-550=-158,-400=50,230=10</t>
    <phoneticPr fontId="15" type="noConversion"/>
  </si>
  <si>
    <t>海魔女为了排解孤独，制作了神奇的造物——小美人鱼，于是海底漫长的生活从此充满了回荡的歌声和无忧无虑的笑容。\n她给了小美人鱼美好的一切，唯独把为她制作的“心”藏了起来，宁愿她永远不懂自己的爱，也希望她拥有悠久的生命。然而，她最终还是流着泪，听到了小美人鱼的回应…</t>
  </si>
  <si>
    <t>布伦希尔德曾是女武神之首，但因违抗了奥丁的意志，被逐出了英灵殿。\n奥丁意图将她困在火焰之中，让她长眠在暗无天日的宫殿里，等待她命定的爱人将她唤醒。然而，在漫长的梦境中布伦希尔德逐渐知晓，她和她爱人的羁绊注定以悲剧收场——\n“前来救我的爱人，将要因我而死……我绝不会放任那种事情发生！”\n牢笼终究束缚不住英勇的心魂，布伦希尔德于长眠之中焕然苏醒。她跨过了那只有英雄才能跨越的火焰，以英灵殿瓦尔哈拉之名起誓：她要找出那位爱人，然后将命定的灾厄亲手消灭……</t>
  </si>
  <si>
    <t>Atla_Insp_Describe_5</t>
  </si>
  <si>
    <t>Atla_Insp_Describe_6</t>
  </si>
  <si>
    <t>Atla_Insp_Describe_9</t>
  </si>
  <si>
    <t>Atla_Insp_Describe_10</t>
  </si>
  <si>
    <t>Atla_Insp_Describe_11</t>
  </si>
  <si>
    <t>Atla_Insp_Describe_12</t>
  </si>
  <si>
    <t>Atla_Insp_Describe_13</t>
  </si>
  <si>
    <t>Atla_Insp_Describe_14</t>
  </si>
  <si>
    <t>Atla_Insp_Describe_15</t>
  </si>
  <si>
    <t>Atla_Insp_Describe_16</t>
  </si>
  <si>
    <t>Atla_Insp_Describe_17</t>
  </si>
  <si>
    <t>Atla_Insp_Describe_18</t>
  </si>
  <si>
    <t>Atla_Insp_Describe_19</t>
  </si>
  <si>
    <t>Atla_Insp_Describe_20</t>
  </si>
  <si>
    <t>Atla_Insp_Describe_21</t>
  </si>
  <si>
    <t>Atla_Insp_Describe_22</t>
  </si>
  <si>
    <t>Atla_Insp_Describe_23</t>
  </si>
  <si>
    <t>Atla_Insp_Describe_24</t>
  </si>
  <si>
    <t>Atla_Insp_Describe_25</t>
  </si>
  <si>
    <t>Atla_Insp_Describe_26</t>
  </si>
  <si>
    <t>Atla_Insp_Describe_27</t>
  </si>
  <si>
    <t>Atla_Insp_Describe_28</t>
  </si>
  <si>
    <t>Atla_Insp_Describe_29</t>
  </si>
  <si>
    <t>Atl_Ins_Describe_30</t>
  </si>
  <si>
    <t>Atl_Ins_Describe_31</t>
  </si>
  <si>
    <t>Atl_Ins_Describe_32</t>
  </si>
  <si>
    <t>Atl_Ins_Describe_33</t>
  </si>
  <si>
    <t>Atl_Ins_Describe_34</t>
  </si>
  <si>
    <t>Atl_Ins_Describe_35</t>
  </si>
  <si>
    <t>Atl_Ins_Describe_36</t>
  </si>
  <si>
    <t>Atl_Ins_Describe_37</t>
  </si>
  <si>
    <t>Atl_Ins_Describe_38</t>
  </si>
  <si>
    <t>Atl_Ins_Describe_39</t>
  </si>
  <si>
    <t>Atl_Ins_Describe_40</t>
  </si>
  <si>
    <t>Atl_Ins_Describe_41</t>
  </si>
  <si>
    <t>Atl_Ins_Describe_42</t>
  </si>
  <si>
    <t>Atl_Ins_Describe_43</t>
  </si>
  <si>
    <t>Atl_Ins_Describe_44</t>
  </si>
  <si>
    <t>Atl_Ins_Describe_45</t>
  </si>
  <si>
    <t>Atl_Ins_Describe_46</t>
  </si>
  <si>
    <t>Atl_Ins_Describe_47</t>
  </si>
  <si>
    <t>Atl_Ins_Describe_48</t>
  </si>
  <si>
    <t>Atl_Ins_Describe_49</t>
  </si>
  <si>
    <t>Atl_Ins_Describe_50</t>
  </si>
  <si>
    <t>Atl_Ins_Describe_51</t>
  </si>
  <si>
    <t>Atl_Ins_Describe_52</t>
  </si>
  <si>
    <t>Atl_Ins_Describe_53</t>
  </si>
  <si>
    <t>Atl_Ins_Describe_54</t>
  </si>
  <si>
    <t>Atl_Ins_Describe_55</t>
  </si>
  <si>
    <t>Atl_Ins_Describe_56</t>
  </si>
  <si>
    <t>Atl_Ins_Describe_57</t>
  </si>
  <si>
    <t>Atl_Ins_Describe_58</t>
  </si>
  <si>
    <t>Atl_Ins_Describe_59</t>
  </si>
  <si>
    <t>Atl_Ins_Describe_60</t>
  </si>
  <si>
    <t>Atl_Ins_Describe_61</t>
  </si>
  <si>
    <t>Atl_Ins_Describe_62</t>
  </si>
  <si>
    <t>Atl_Ins_Describe_63</t>
  </si>
  <si>
    <t>Atl_Ins_Describe_64</t>
  </si>
  <si>
    <t>Atl_Ins_Describe_65</t>
  </si>
  <si>
    <t>Atl_Ins_Describe_66</t>
  </si>
  <si>
    <t>Atl_Ins_Describe_67</t>
  </si>
  <si>
    <t>Atl_Ins_Describe_68</t>
  </si>
  <si>
    <t>Atl_Ins_Describe_69</t>
  </si>
  <si>
    <t>Atl_Ins_Describe_70</t>
  </si>
  <si>
    <t>Atl_Ins_Describe_71</t>
  </si>
  <si>
    <t>Atl_Ins_Describe_72</t>
  </si>
  <si>
    <t>Atl_Ins_Describe_73</t>
  </si>
  <si>
    <t>Atl_Ins_Describe_74</t>
  </si>
  <si>
    <t>Atl_Ins_Describe_75</t>
  </si>
  <si>
    <t>Atl_Ins_Describe_76</t>
  </si>
  <si>
    <t>Atl_Ins_Describe_77</t>
  </si>
  <si>
    <t>Atl_Ins_Describe_78</t>
  </si>
  <si>
    <t>Atl_Ins_Describe_79</t>
  </si>
  <si>
    <t>Atl_Ins_Describe_80</t>
  </si>
  <si>
    <t>Atl_Ins_Describe_81</t>
  </si>
  <si>
    <t>Atl_Ins_Describe_82</t>
  </si>
  <si>
    <t>Atl_Ins_Describe_83</t>
  </si>
  <si>
    <t>Atl_Ins_Describe_84</t>
  </si>
  <si>
    <t>Atl_Ins_Describe_85</t>
  </si>
  <si>
    <t>Atl_Ins_Describe_86</t>
  </si>
  <si>
    <t>Atl_Ins_Describe_87</t>
  </si>
  <si>
    <t>Atl_Ins_Describe_88</t>
  </si>
  <si>
    <t>Atl_Ins_Describe_89</t>
  </si>
  <si>
    <t>Atl_Ins_Describe_90</t>
  </si>
  <si>
    <t>Atl_Ins_Describe_91</t>
  </si>
  <si>
    <t>Atl_Ins_Describe_92</t>
  </si>
  <si>
    <t>Atl_Ins_Describe_93</t>
  </si>
  <si>
    <t>Atl_Ins_Describe_94</t>
  </si>
  <si>
    <t>Atl_Ins_Describe_95</t>
  </si>
  <si>
    <t>Atl_Ins_Describe_96</t>
  </si>
  <si>
    <t>Atl_Ins_Describe_97</t>
  </si>
  <si>
    <t>Atl_Ins_Describe_98</t>
  </si>
  <si>
    <t>Atl_Ins_Describe_99</t>
  </si>
  <si>
    <t>Atl_Ins_Describe_100</t>
  </si>
  <si>
    <t>Atl_Ins_Describe_101</t>
  </si>
  <si>
    <t>Atl_Ins_Describe_102</t>
  </si>
  <si>
    <t>Atl_Ins_Describe_103</t>
  </si>
  <si>
    <t>Atl_Ins_Describe_104</t>
  </si>
  <si>
    <t>Atl_Ins_Describe_105</t>
  </si>
  <si>
    <t>Atl_Ins_Describe_106</t>
  </si>
  <si>
    <t>Atl_Ins_Describe_107</t>
  </si>
  <si>
    <t>Atl_Ins_Describe_108</t>
  </si>
  <si>
    <t>Atl_Ins_Describe_109</t>
  </si>
  <si>
    <t>Atl_Ins_Describe_110</t>
  </si>
  <si>
    <t>Atl_Ins_Describe_111</t>
  </si>
  <si>
    <t>Atl_Ins_Describe_112</t>
  </si>
  <si>
    <t>Atl_Ins_Describe_113</t>
  </si>
  <si>
    <t>Atl_Ins_Describe_114</t>
  </si>
  <si>
    <t>Atl_Ins_Describe_115</t>
  </si>
  <si>
    <t>Atl_Ins_Describe_116</t>
  </si>
  <si>
    <t>Atl_Ins_Describe_117</t>
  </si>
  <si>
    <t>Atl_Ins_Describe_118</t>
  </si>
  <si>
    <t>Atl_Ins_Describe_119</t>
  </si>
  <si>
    <t>Atl_Ins_Describe_120</t>
  </si>
  <si>
    <t>1=1800,3=80</t>
  </si>
  <si>
    <t>1=1800,3=80</t>
    <phoneticPr fontId="15" type="noConversion"/>
  </si>
  <si>
    <t>2=120,5=80</t>
  </si>
  <si>
    <t>2=120,5=80</t>
    <phoneticPr fontId="15" type="noConversion"/>
  </si>
  <si>
    <t>1=3600,3=160</t>
  </si>
  <si>
    <t>1=3600,3=160</t>
    <phoneticPr fontId="15" type="noConversion"/>
  </si>
  <si>
    <t>2=240,5=160</t>
  </si>
  <si>
    <t>2=240,5=160</t>
    <phoneticPr fontId="15" type="noConversion"/>
  </si>
  <si>
    <t>1=1000,3=50</t>
  </si>
  <si>
    <t>1=1000,3=50</t>
    <phoneticPr fontId="15" type="noConversion"/>
  </si>
  <si>
    <t>2=80,5=50</t>
  </si>
  <si>
    <t>2=80,5=50</t>
    <phoneticPr fontId="15" type="noConversion"/>
  </si>
  <si>
    <t>1=2000,3=100</t>
    <phoneticPr fontId="15" type="noConversion"/>
  </si>
  <si>
    <t>2=160,5=100</t>
  </si>
  <si>
    <t>2=160,5=100</t>
    <phoneticPr fontId="15" type="noConversion"/>
  </si>
  <si>
    <t>1=2400,3=80,101=50</t>
  </si>
  <si>
    <t>2=120,5=80,101=50</t>
  </si>
  <si>
    <t>1=4800,3=150,101=50</t>
  </si>
  <si>
    <t>2=240,5=150,101=50</t>
  </si>
  <si>
    <t>1=7200,3=240,101=50</t>
  </si>
  <si>
    <t>2=360,5=240,101=50</t>
  </si>
  <si>
    <t>3=40,5=40,14=10</t>
  </si>
  <si>
    <t>3=60,5=60,14=10</t>
  </si>
  <si>
    <t>3=80,5=80,14=10</t>
  </si>
  <si>
    <t>3=100,5=100,14=10</t>
  </si>
  <si>
    <t>At_An_Name_2012</t>
  </si>
  <si>
    <t>深渊回响</t>
  </si>
  <si>
    <t>UI/Sprite/PicBook/cover_img_26_s</t>
  </si>
  <si>
    <t>UI/Sprite/PicBook/cover_img_26</t>
  </si>
  <si>
    <t>Atl_Ani_Name_21101</t>
  </si>
  <si>
    <t>At_An_Name_21102</t>
  </si>
  <si>
    <t>At_An_Name_21103</t>
  </si>
  <si>
    <t>At_An_Name_21104</t>
  </si>
  <si>
    <t>At_An_Name_21105</t>
  </si>
  <si>
    <t>At_An_Name_21106</t>
  </si>
  <si>
    <t>Atl_Ani_Name_21201</t>
  </si>
  <si>
    <t>ch1.深夜访客</t>
    <phoneticPr fontId="15" type="noConversion"/>
  </si>
  <si>
    <t>At_An_Name_21202</t>
  </si>
  <si>
    <t>ch2.极北疑云</t>
    <phoneticPr fontId="15" type="noConversion"/>
  </si>
  <si>
    <t>At_An_Name_21203</t>
  </si>
  <si>
    <t>ch3.深渊回响</t>
    <phoneticPr fontId="15" type="noConversion"/>
  </si>
  <si>
    <t>At_An_Name_21204</t>
  </si>
  <si>
    <t>ch4.主从誓约</t>
    <phoneticPr fontId="15" type="noConversion"/>
  </si>
  <si>
    <t>At_An_Name_21205</t>
  </si>
  <si>
    <t>ch5.前人之种</t>
    <phoneticPr fontId="15" type="noConversion"/>
  </si>
  <si>
    <t>At_An_Name_21206</t>
  </si>
  <si>
    <t>ch6.假面终局</t>
    <phoneticPr fontId="15" type="noConversion"/>
  </si>
  <si>
    <t>Atl_Ani_Name_10113</t>
  </si>
  <si>
    <t>深渊回响</t>
    <phoneticPr fontId="15" type="noConversion"/>
  </si>
  <si>
    <t>At_An_Name_11401</t>
  </si>
  <si>
    <t>不请自来的管家</t>
  </si>
  <si>
    <t>深夜访客</t>
  </si>
  <si>
    <t>At_An_Name_11402</t>
  </si>
  <si>
    <t>大力出奇迹</t>
  </si>
  <si>
    <t>At_An_Name_11403</t>
  </si>
  <si>
    <t>指向极北的地图</t>
  </si>
  <si>
    <t>极北疑云</t>
  </si>
  <si>
    <t>At_An_Name_11404</t>
  </si>
  <si>
    <t>冰原上的疑云</t>
  </si>
  <si>
    <t>At_An_Name_11405</t>
  </si>
  <si>
    <t>深渊的回响</t>
  </si>
  <si>
    <t>At_An_Name_11406</t>
  </si>
  <si>
    <t>幻境中的清扫</t>
  </si>
  <si>
    <t>At_An_Name_11407</t>
  </si>
  <si>
    <t>月光下的初见</t>
  </si>
  <si>
    <t>主从誓约</t>
  </si>
  <si>
    <t>At_An_Name_11408</t>
  </si>
  <si>
    <t>火中的誓言</t>
  </si>
  <si>
    <t>At_An_Name_11409</t>
  </si>
  <si>
    <t>前人的种子</t>
  </si>
  <si>
    <t>前人之种</t>
  </si>
  <si>
    <t>At_An_Name_11410</t>
  </si>
  <si>
    <t>七分之一</t>
  </si>
  <si>
    <t>At_An_Name_11411</t>
  </si>
  <si>
    <t>假戏真做？！</t>
  </si>
  <si>
    <t>假面终局</t>
  </si>
  <si>
    <t>At_An_Name_11412</t>
  </si>
  <si>
    <t>夜之爱女的裁决</t>
  </si>
  <si>
    <t>At_An_Name_21201</t>
  </si>
  <si>
    <t>巷尾的狩猎</t>
  </si>
  <si>
    <t>UI/Sprite/Loading/loading_activitybg_13</t>
  </si>
  <si>
    <t>At_An_Describe_21201</t>
  </si>
  <si>
    <t>她像一只骄傲的狮子，在肮脏之地狩猎罪恶，清扫垃圾，只为了重要的人。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</si>
</sst>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36">
    <font>
      <sz val="11"/>
      <color theme="1"/>
      <name val="宋体"/>
      <charset val="134"/>
      <scheme val="minor"/>
    </font>
    <font>
      <b/>
      <sz val="11"/>
      <color theme="0"/>
      <name val="宋体"/>
      <family val="3"/>
      <charset val="134"/>
      <scheme val="minor"/>
    </font>
    <font>
      <b/>
      <sz val="11"/>
      <color theme="0"/>
      <name val="等线"/>
      <family val="3"/>
      <charset val="134"/>
    </font>
    <font>
      <sz val="11"/>
      <name val="宋体"/>
      <family val="3"/>
      <charset val="134"/>
      <scheme val="minor"/>
    </font>
    <font>
      <sz val="10"/>
      <name val="宋体"/>
      <family val="3"/>
      <charset val="134"/>
      <scheme val="minor"/>
    </font>
    <font>
      <sz val="11"/>
      <name val="微软雅黑"/>
      <family val="2"/>
      <charset val="134"/>
    </font>
    <font>
      <sz val="11"/>
      <name val="宋体"/>
      <family val="3"/>
      <charset val="134"/>
    </font>
    <font>
      <sz val="12"/>
      <name val="等线"/>
      <family val="3"/>
      <charset val="134"/>
    </font>
    <font>
      <sz val="12"/>
      <color rgb="FF000000"/>
      <name val="等线"/>
      <family val="3"/>
      <charset val="134"/>
    </font>
    <font>
      <sz val="11"/>
      <name val="微软雅黑 Light"/>
      <family val="2"/>
      <charset val="134"/>
    </font>
    <font>
      <sz val="10"/>
      <name val="Arial"/>
      <family val="2"/>
    </font>
    <font>
      <sz val="22"/>
      <color theme="1"/>
      <name val="宋体"/>
      <family val="3"/>
      <charset val="134"/>
      <scheme val="minor"/>
    </font>
    <font>
      <sz val="16"/>
      <color theme="1"/>
      <name val="宋体"/>
      <family val="3"/>
      <charset val="134"/>
      <scheme val="minor"/>
    </font>
    <font>
      <b/>
      <sz val="9"/>
      <name val="宋体"/>
      <family val="3"/>
      <charset val="134"/>
    </font>
    <font>
      <sz val="9"/>
      <name val="宋体"/>
      <family val="3"/>
      <charset val="134"/>
    </font>
    <font>
      <sz val="9"/>
      <name val="宋体"/>
      <family val="3"/>
      <charset val="134"/>
      <scheme val="minor"/>
    </font>
    <font>
      <sz val="11"/>
      <name val="宋体"/>
      <family val="3"/>
      <charset val="134"/>
      <scheme val="minor"/>
    </font>
    <font>
      <sz val="10"/>
      <color rgb="FF000000"/>
      <name val="宋体"/>
      <family val="3"/>
      <charset val="134"/>
      <scheme val="minor"/>
    </font>
    <font>
      <sz val="11"/>
      <color theme="1"/>
      <name val="宋体"/>
      <family val="3"/>
      <charset val="134"/>
      <scheme val="minor"/>
    </font>
    <font>
      <sz val="11"/>
      <color rgb="FF000000"/>
      <name val="宋体"/>
      <family val="3"/>
      <charset val="134"/>
      <scheme val="minor"/>
    </font>
    <font>
      <sz val="10"/>
      <color rgb="FF000000"/>
      <name val="Microsoft YaHei"/>
      <family val="2"/>
      <charset val="134"/>
    </font>
    <font>
      <sz val="11"/>
      <color rgb="FF006100"/>
      <name val="宋体"/>
      <family val="3"/>
      <charset val="134"/>
      <scheme val="minor"/>
    </font>
    <font>
      <sz val="11"/>
      <color rgb="FF9C6500"/>
      <name val="宋体"/>
      <family val="3"/>
      <charset val="134"/>
      <scheme val="minor"/>
    </font>
    <font>
      <b/>
      <sz val="11"/>
      <color theme="3" tint="0.59999389629810485"/>
      <name val="宋体"/>
      <family val="3"/>
      <charset val="134"/>
      <scheme val="minor"/>
    </font>
    <font>
      <sz val="11"/>
      <color theme="1"/>
      <name val="Microsoft YaHei UI Light"/>
      <family val="2"/>
      <charset val="134"/>
    </font>
    <font>
      <sz val="11"/>
      <name val="等线"/>
      <family val="3"/>
      <charset val="134"/>
    </font>
    <font>
      <sz val="11"/>
      <color rgb="FFFF0000"/>
      <name val="宋体"/>
      <family val="3"/>
      <charset val="134"/>
      <scheme val="minor"/>
    </font>
    <font>
      <sz val="9"/>
      <color indexed="81"/>
      <name val="宋体"/>
      <family val="3"/>
      <charset val="134"/>
    </font>
    <font>
      <b/>
      <sz val="10"/>
      <color theme="1"/>
      <name val="微软雅黑"/>
      <family val="2"/>
      <charset val="134"/>
    </font>
    <font>
      <sz val="10"/>
      <color theme="1"/>
      <name val="微软雅黑"/>
      <family val="2"/>
      <charset val="134"/>
    </font>
    <font>
      <sz val="10"/>
      <name val="宋体"/>
      <family val="3"/>
      <charset val="134"/>
    </font>
    <font>
      <sz val="10"/>
      <color rgb="FF000000"/>
      <name val="等线"/>
      <family val="3"/>
      <charset val="134"/>
    </font>
    <font>
      <b/>
      <sz val="9"/>
      <color indexed="81"/>
      <name val="宋体"/>
      <family val="3"/>
      <charset val="134"/>
    </font>
    <font>
      <b/>
      <sz val="11"/>
      <color rgb="FFFFFFFF"/>
      <name val="宋体"/>
      <family val="3"/>
      <charset val="134"/>
    </font>
    <font>
      <sz val="11"/>
      <color theme="1"/>
      <name val="微软雅黑"/>
      <family val="2"/>
      <charset val="134"/>
    </font>
    <font>
      <sz val="11"/>
      <color rgb="FF000000"/>
      <name val="宋体"/>
      <family val="3"/>
      <charset val="134"/>
    </font>
  </fonts>
  <fills count="41">
    <fill>
      <patternFill patternType="none"/>
    </fill>
    <fill>
      <patternFill patternType="gray125"/>
    </fill>
    <fill>
      <patternFill patternType="solid">
        <fgColor theme="3" tint="-0.249977111117893"/>
        <bgColor indexed="64"/>
      </patternFill>
    </fill>
    <fill>
      <patternFill patternType="solid">
        <fgColor theme="0"/>
        <bgColor indexed="64"/>
      </patternFill>
    </fill>
    <fill>
      <patternFill patternType="solid">
        <fgColor theme="5" tint="-0.249977111117893"/>
        <bgColor indexed="64"/>
      </patternFill>
    </fill>
    <fill>
      <patternFill patternType="solid">
        <fgColor rgb="FFFFFF00"/>
        <bgColor indexed="64"/>
      </patternFill>
    </fill>
    <fill>
      <patternFill patternType="solid">
        <fgColor theme="2"/>
        <bgColor indexed="64"/>
      </patternFill>
    </fill>
    <fill>
      <patternFill patternType="solid">
        <fgColor rgb="FFC6EFCE"/>
        <bgColor indexed="64"/>
      </patternFill>
    </fill>
    <fill>
      <patternFill patternType="solid">
        <fgColor rgb="FFFFEB9C"/>
        <bgColor indexed="64"/>
      </patternFill>
    </fill>
    <fill>
      <patternFill patternType="solid">
        <fgColor theme="6" tint="0.59999389629810485"/>
        <bgColor indexed="64"/>
      </patternFill>
    </fill>
    <fill>
      <patternFill patternType="solid">
        <fgColor rgb="FFFDEBFF"/>
        <bgColor indexed="64"/>
      </patternFill>
    </fill>
    <fill>
      <patternFill patternType="solid">
        <fgColor rgb="FFC7DCFF"/>
        <bgColor indexed="64"/>
      </patternFill>
    </fill>
    <fill>
      <patternFill patternType="solid">
        <fgColor rgb="FFE4DFEC"/>
        <bgColor indexed="64"/>
      </patternFill>
    </fill>
    <fill>
      <patternFill patternType="solid">
        <fgColor rgb="FFE5F6FF"/>
        <bgColor indexed="64"/>
      </patternFill>
    </fill>
    <fill>
      <patternFill patternType="solid">
        <fgColor rgb="FFEAFAF1"/>
        <bgColor indexed="64"/>
      </patternFill>
    </fill>
    <fill>
      <patternFill patternType="solid">
        <fgColor rgb="FFDCE6F1"/>
        <bgColor indexed="64"/>
      </patternFill>
    </fill>
    <fill>
      <patternFill patternType="solid">
        <fgColor rgb="FFEBF1DE"/>
        <bgColor indexed="64"/>
      </patternFill>
    </fill>
    <fill>
      <patternFill patternType="solid">
        <fgColor rgb="FFC7ECFF"/>
        <bgColor indexed="64"/>
      </patternFill>
    </fill>
    <fill>
      <patternFill patternType="solid">
        <fgColor rgb="FFF2C7FF"/>
        <bgColor indexed="64"/>
      </patternFill>
    </fill>
    <fill>
      <patternFill patternType="solid">
        <fgColor theme="3" tint="0.59999389629810485"/>
        <bgColor indexed="64"/>
      </patternFill>
    </fill>
    <fill>
      <patternFill patternType="solid">
        <fgColor rgb="FFD8E4BC"/>
        <bgColor indexed="64"/>
      </patternFill>
    </fill>
    <fill>
      <patternFill patternType="solid">
        <fgColor theme="6" tint="0.39909054841761527"/>
        <bgColor indexed="64"/>
      </patternFill>
    </fill>
    <fill>
      <patternFill patternType="solid">
        <fgColor theme="6"/>
        <bgColor indexed="64"/>
      </patternFill>
    </fill>
    <fill>
      <patternFill patternType="solid">
        <fgColor theme="9" tint="0.7993713187047945"/>
        <bgColor indexed="64"/>
      </patternFill>
    </fill>
    <fill>
      <patternFill patternType="solid">
        <fgColor theme="6" tint="0.799371318704794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rgb="FFFFE9E8"/>
        <bgColor indexed="64"/>
      </patternFill>
    </fill>
    <fill>
      <patternFill patternType="solid">
        <fgColor rgb="FFFFF9E3"/>
        <bgColor indexed="64"/>
      </patternFill>
    </fill>
    <fill>
      <patternFill patternType="solid">
        <fgColor rgb="FF16365C"/>
        <bgColor indexed="64"/>
      </patternFill>
    </fill>
    <fill>
      <patternFill patternType="solid">
        <fgColor theme="9" tint="0.7993713187047945"/>
        <bgColor indexed="64"/>
      </patternFill>
    </fill>
    <fill>
      <patternFill patternType="solid">
        <fgColor theme="8" tint="0.7993713187047945"/>
        <bgColor indexed="64"/>
      </patternFill>
    </fill>
    <fill>
      <patternFill patternType="solid">
        <fgColor theme="4" tint="0.7993713187047945"/>
        <bgColor indexed="64"/>
      </patternFill>
    </fill>
    <fill>
      <patternFill patternType="solid">
        <fgColor rgb="FFE5EFFF"/>
        <bgColor indexed="64"/>
      </patternFill>
    </fill>
    <fill>
      <patternFill patternType="solid">
        <fgColor theme="9" tint="0.79976805932798245"/>
        <bgColor indexed="64"/>
      </patternFill>
    </fill>
    <fill>
      <patternFill patternType="solid">
        <fgColor theme="4" tint="0.79979857783745845"/>
        <bgColor indexed="64"/>
      </patternFill>
    </fill>
    <fill>
      <patternFill patternType="solid">
        <fgColor theme="7" tint="0.79979857783745845"/>
        <bgColor indexed="64"/>
      </patternFill>
    </fill>
    <fill>
      <patternFill patternType="solid">
        <fgColor theme="3" tint="0.79979857783745845"/>
        <bgColor indexed="64"/>
      </patternFill>
    </fill>
    <fill>
      <patternFill patternType="solid">
        <fgColor rgb="FFFFF3CA"/>
        <bgColor indexed="64"/>
      </patternFill>
    </fill>
    <fill>
      <patternFill patternType="solid">
        <fgColor rgb="FFD2F4F2"/>
        <bgColor indexed="64"/>
      </patternFill>
    </fill>
    <fill>
      <patternFill patternType="solid">
        <fgColor rgb="FFEEECE1"/>
        <bgColor indexed="64"/>
      </patternFill>
    </fill>
  </fills>
  <borders count="40">
    <border>
      <left/>
      <right/>
      <top/>
      <bottom/>
      <diagonal/>
    </border>
    <border>
      <left style="thin">
        <color theme="3" tint="0.39887691885128329"/>
      </left>
      <right style="thin">
        <color theme="3" tint="0.39887691885128329"/>
      </right>
      <top style="thin">
        <color theme="3" tint="0.39887691885128329"/>
      </top>
      <bottom style="thin">
        <color theme="3" tint="0.39887691885128329"/>
      </bottom>
      <diagonal/>
    </border>
    <border>
      <left/>
      <right/>
      <top style="thin">
        <color theme="3" tint="0.3966795861690115"/>
      </top>
      <bottom style="thin">
        <color theme="3" tint="0.3966795861690115"/>
      </bottom>
      <diagonal/>
    </border>
    <border>
      <left style="thin">
        <color theme="3" tint="0.39887691885128329"/>
      </left>
      <right/>
      <top style="thin">
        <color theme="3" tint="0.39887691885128329"/>
      </top>
      <bottom style="thin">
        <color theme="3" tint="0.39887691885128329"/>
      </bottom>
      <diagonal/>
    </border>
    <border>
      <left/>
      <right style="thin">
        <color theme="3" tint="0.39887691885128329"/>
      </right>
      <top style="thin">
        <color theme="3" tint="0.39887691885128329"/>
      </top>
      <bottom style="thin">
        <color theme="3" tint="0.39887691885128329"/>
      </bottom>
      <diagonal/>
    </border>
    <border>
      <left/>
      <right/>
      <top style="thin">
        <color theme="3" tint="0.39887691885128329"/>
      </top>
      <bottom style="thin">
        <color theme="3" tint="0.39887691885128329"/>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theme="3" tint="0.3966795861690115"/>
      </left>
      <right/>
      <top style="thin">
        <color theme="3" tint="0.3966795861690115"/>
      </top>
      <bottom style="thin">
        <color theme="3" tint="0.3966795861690115"/>
      </bottom>
      <diagonal/>
    </border>
    <border>
      <left style="thin">
        <color theme="3" tint="0.39887691885128329"/>
      </left>
      <right style="thin">
        <color theme="3" tint="0.39887691885128329"/>
      </right>
      <top style="thin">
        <color theme="3" tint="0.39887691885128329"/>
      </top>
      <bottom/>
      <diagonal/>
    </border>
    <border>
      <left style="thin">
        <color theme="3" tint="0.39887691885128329"/>
      </left>
      <right/>
      <top style="thin">
        <color theme="3" tint="0.39887691885128329"/>
      </top>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3" tint="0.39902951139866327"/>
      </left>
      <right style="thin">
        <color theme="3" tint="0.39902951139866327"/>
      </right>
      <top style="thin">
        <color theme="3" tint="0.39902951139866327"/>
      </top>
      <bottom style="thin">
        <color theme="3" tint="0.39902951139866327"/>
      </bottom>
      <diagonal/>
    </border>
    <border>
      <left style="thin">
        <color theme="3" tint="0.39902951139866327"/>
      </left>
      <right/>
      <top style="thin">
        <color theme="3" tint="0.39902951139866327"/>
      </top>
      <bottom style="thin">
        <color theme="3" tint="0.39902951139866327"/>
      </bottom>
      <diagonal/>
    </border>
    <border>
      <left style="thin">
        <color theme="3" tint="0.39902951139866327"/>
      </left>
      <right style="thin">
        <color theme="3" tint="0.39902951139866327"/>
      </right>
      <top/>
      <bottom/>
      <diagonal/>
    </border>
    <border>
      <left style="thin">
        <color theme="3" tint="0.39884640034180729"/>
      </left>
      <right/>
      <top style="thin">
        <color theme="3" tint="0.39884640034180729"/>
      </top>
      <bottom style="thin">
        <color theme="3" tint="0.39884640034180729"/>
      </bottom>
      <diagonal/>
    </border>
    <border>
      <left style="thin">
        <color theme="3" tint="0.39887691885128329"/>
      </left>
      <right style="thin">
        <color theme="3" tint="0.39887691885128329"/>
      </right>
      <top/>
      <bottom/>
      <diagonal/>
    </border>
    <border>
      <left style="thin">
        <color rgb="FF000000"/>
      </left>
      <right style="thin">
        <color rgb="FF000000"/>
      </right>
      <top/>
      <bottom/>
      <diagonal/>
    </border>
    <border>
      <left/>
      <right/>
      <top style="thin">
        <color theme="3" tint="0.39902951139866327"/>
      </top>
      <bottom style="thin">
        <color theme="3" tint="0.39902951139866327"/>
      </bottom>
      <diagonal/>
    </border>
    <border>
      <left style="thin">
        <color theme="3" tint="0.39906002990813927"/>
      </left>
      <right style="thin">
        <color theme="3" tint="0.39906002990813927"/>
      </right>
      <top style="thin">
        <color theme="3" tint="0.39906002990813927"/>
      </top>
      <bottom style="thin">
        <color theme="3" tint="0.39906002990813927"/>
      </bottom>
      <diagonal/>
    </border>
    <border>
      <left/>
      <right style="thin">
        <color theme="3" tint="0.39906002990813927"/>
      </right>
      <top style="thin">
        <color theme="3" tint="0.39906002990813927"/>
      </top>
      <bottom style="thin">
        <color theme="3" tint="0.39906002990813927"/>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thin">
        <color auto="1"/>
      </left>
      <right style="thin">
        <color auto="1"/>
      </right>
      <top/>
      <bottom/>
      <diagonal/>
    </border>
    <border>
      <left/>
      <right style="thin">
        <color auto="1"/>
      </right>
      <top/>
      <bottom/>
      <diagonal/>
    </border>
    <border>
      <left/>
      <right style="thin">
        <color rgb="FF000000"/>
      </right>
      <top/>
      <bottom/>
      <diagonal/>
    </border>
    <border>
      <left style="thin">
        <color theme="3" tint="0.39936521500289923"/>
      </left>
      <right style="thin">
        <color theme="3" tint="0.39936521500289923"/>
      </right>
      <top style="thin">
        <color theme="3" tint="0.39936521500289923"/>
      </top>
      <bottom style="thin">
        <color theme="3" tint="0.39936521500289923"/>
      </bottom>
      <diagonal/>
    </border>
    <border>
      <left style="thin">
        <color rgb="FF538DD5"/>
      </left>
      <right/>
      <top style="thin">
        <color rgb="FF538DD5"/>
      </top>
      <bottom style="thin">
        <color rgb="FF538DD5"/>
      </bottom>
      <diagonal/>
    </border>
    <border>
      <left style="thin">
        <color rgb="FF538DD5"/>
      </left>
      <right/>
      <top/>
      <bottom style="thin">
        <color rgb="FF538DD5"/>
      </bottom>
      <diagonal/>
    </border>
    <border>
      <left style="thin">
        <color theme="3" tint="0.39890743736075929"/>
      </left>
      <right style="thin">
        <color theme="3" tint="0.39890743736075929"/>
      </right>
      <top style="thin">
        <color theme="3" tint="0.39890743736075929"/>
      </top>
      <bottom style="thin">
        <color theme="3" tint="0.39890743736075929"/>
      </bottom>
      <diagonal/>
    </border>
    <border>
      <left style="thin">
        <color theme="3" tint="0.39890743736075929"/>
      </left>
      <right/>
      <top style="thin">
        <color theme="3" tint="0.39890743736075929"/>
      </top>
      <bottom style="thin">
        <color theme="3" tint="0.39890743736075929"/>
      </bottom>
      <diagonal/>
    </border>
    <border>
      <left/>
      <right style="thin">
        <color theme="3" tint="0.39890743736075929"/>
      </right>
      <top style="thin">
        <color theme="3" tint="0.39890743736075929"/>
      </top>
      <bottom style="thin">
        <color theme="3" tint="0.39890743736075929"/>
      </bottom>
      <diagonal/>
    </border>
    <border>
      <left/>
      <right/>
      <top style="thin">
        <color theme="3" tint="0.39890743736075929"/>
      </top>
      <bottom style="thin">
        <color theme="3" tint="0.39890743736075929"/>
      </bottom>
      <diagonal/>
    </border>
    <border>
      <left/>
      <right style="thin">
        <color theme="3" tint="0.39890743736075929"/>
      </right>
      <top/>
      <bottom/>
      <diagonal/>
    </border>
    <border>
      <left style="thin">
        <color theme="3" tint="0.39982299264503923"/>
      </left>
      <right style="thin">
        <color theme="3" tint="0.39982299264503923"/>
      </right>
      <top style="thin">
        <color theme="3" tint="0.39982299264503923"/>
      </top>
      <bottom style="thin">
        <color theme="3" tint="0.39982299264503923"/>
      </bottom>
      <diagonal/>
    </border>
    <border>
      <left/>
      <right style="thin">
        <color rgb="FF000000"/>
      </right>
      <top/>
      <bottom style="thin">
        <color rgb="FF000000"/>
      </bottom>
      <diagonal/>
    </border>
    <border>
      <left/>
      <right style="thin">
        <color rgb="FF000000"/>
      </right>
      <top style="thin">
        <color rgb="FF000000"/>
      </top>
      <bottom/>
      <diagonal/>
    </border>
  </borders>
  <cellStyleXfs count="6">
    <xf numFmtId="0" fontId="0" fillId="0" borderId="0">
      <alignment vertical="center"/>
    </xf>
    <xf numFmtId="0" fontId="18" fillId="0" borderId="0">
      <alignment vertical="center"/>
    </xf>
    <xf numFmtId="0" fontId="21" fillId="7" borderId="0">
      <alignment vertical="center"/>
    </xf>
    <xf numFmtId="0" fontId="22" fillId="8" borderId="0">
      <alignment vertical="center"/>
    </xf>
    <xf numFmtId="0" fontId="18" fillId="0" borderId="0">
      <alignment vertical="center"/>
    </xf>
    <xf numFmtId="0" fontId="18" fillId="0" borderId="0">
      <alignment vertical="center"/>
    </xf>
  </cellStyleXfs>
  <cellXfs count="226">
    <xf numFmtId="0" fontId="0" fillId="0" borderId="0" xfId="0">
      <alignment vertical="center"/>
    </xf>
    <xf numFmtId="0" fontId="1" fillId="2" borderId="1" xfId="0" applyFont="1" applyFill="1" applyBorder="1" applyAlignment="1">
      <alignment horizontal="center" vertical="center" wrapText="1" shrinkToFit="1"/>
    </xf>
    <xf numFmtId="0" fontId="2" fillId="2" borderId="2" xfId="0" applyFont="1" applyFill="1" applyBorder="1" applyAlignment="1">
      <alignment horizontal="center" vertical="center" wrapText="1" shrinkToFit="1"/>
    </xf>
    <xf numFmtId="0" fontId="1" fillId="2" borderId="3" xfId="0" applyFont="1" applyFill="1" applyBorder="1" applyAlignment="1">
      <alignment horizontal="center" vertical="center" wrapText="1" shrinkToFit="1"/>
    </xf>
    <xf numFmtId="0" fontId="3" fillId="0" borderId="0" xfId="0" applyFont="1">
      <alignment vertical="center"/>
    </xf>
    <xf numFmtId="0" fontId="1" fillId="2" borderId="4" xfId="0" applyFont="1" applyFill="1" applyBorder="1" applyAlignment="1">
      <alignment horizontal="center" vertical="center" wrapText="1" shrinkToFit="1"/>
    </xf>
    <xf numFmtId="0" fontId="1" fillId="2" borderId="5" xfId="0" applyFont="1" applyFill="1" applyBorder="1" applyAlignment="1">
      <alignment horizontal="center" vertical="center" wrapText="1" shrinkToFit="1"/>
    </xf>
    <xf numFmtId="0" fontId="6" fillId="0" borderId="0" xfId="0" applyFont="1">
      <alignment vertical="center"/>
    </xf>
    <xf numFmtId="0" fontId="3" fillId="0" borderId="0" xfId="0" applyFont="1" applyAlignment="1"/>
    <xf numFmtId="0" fontId="2" fillId="2" borderId="8" xfId="0" applyFont="1" applyFill="1" applyBorder="1" applyAlignment="1">
      <alignment horizontal="center" vertical="center" wrapText="1" shrinkToFit="1"/>
    </xf>
    <xf numFmtId="0" fontId="3" fillId="0" borderId="0" xfId="0" applyFont="1" applyAlignment="1">
      <alignment horizontal="right"/>
    </xf>
    <xf numFmtId="0" fontId="2" fillId="2" borderId="3" xfId="0" applyFont="1" applyFill="1" applyBorder="1" applyAlignment="1">
      <alignment horizontal="center" vertical="center" wrapText="1" shrinkToFit="1"/>
    </xf>
    <xf numFmtId="0" fontId="2" fillId="2" borderId="1" xfId="0" applyFont="1" applyFill="1" applyBorder="1" applyAlignment="1">
      <alignment horizontal="center" vertical="center" wrapText="1" shrinkToFit="1"/>
    </xf>
    <xf numFmtId="0" fontId="3" fillId="0" borderId="0" xfId="0" applyFont="1" applyAlignment="1">
      <alignment horizont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vertical="center"/>
    </xf>
    <xf numFmtId="0" fontId="3" fillId="0" borderId="7" xfId="0" applyFont="1" applyBorder="1">
      <alignment vertical="center"/>
    </xf>
    <xf numFmtId="0" fontId="9" fillId="0" borderId="0" xfId="0" applyFont="1" applyAlignment="1">
      <alignment horizontal="left" vertical="center"/>
    </xf>
    <xf numFmtId="0" fontId="10" fillId="0" borderId="0" xfId="0" applyFont="1">
      <alignment vertical="center"/>
    </xf>
    <xf numFmtId="0" fontId="3" fillId="3" borderId="0" xfId="0" applyFont="1" applyFill="1">
      <alignment vertical="center"/>
    </xf>
    <xf numFmtId="0" fontId="5" fillId="0" borderId="0" xfId="0" applyFont="1">
      <alignment vertical="center"/>
    </xf>
    <xf numFmtId="0" fontId="11" fillId="0" borderId="0" xfId="0" applyFont="1">
      <alignment vertical="center"/>
    </xf>
    <xf numFmtId="0" fontId="12" fillId="4" borderId="0" xfId="0" applyFont="1" applyFill="1">
      <alignment vertical="center"/>
    </xf>
    <xf numFmtId="0" fontId="0" fillId="0" borderId="0" xfId="0" applyAlignment="1">
      <alignment horizontal="left" vertical="center"/>
    </xf>
    <xf numFmtId="0" fontId="16" fillId="0" borderId="0" xfId="0" applyFont="1">
      <alignment vertical="center"/>
    </xf>
    <xf numFmtId="0" fontId="17" fillId="5" borderId="0" xfId="0" applyFont="1" applyFill="1" applyAlignment="1">
      <alignment horizontal="right" vertical="center"/>
    </xf>
    <xf numFmtId="0" fontId="18" fillId="0" borderId="0" xfId="0" applyFont="1">
      <alignment vertical="center"/>
    </xf>
    <xf numFmtId="0" fontId="1" fillId="2" borderId="9" xfId="0" applyFont="1" applyFill="1" applyBorder="1" applyAlignment="1">
      <alignment horizontal="center" vertical="center" wrapText="1" shrinkToFit="1"/>
    </xf>
    <xf numFmtId="0" fontId="1" fillId="2" borderId="10" xfId="0" applyFont="1" applyFill="1" applyBorder="1" applyAlignment="1">
      <alignment horizontal="center" vertical="center" wrapText="1" shrinkToFit="1"/>
    </xf>
    <xf numFmtId="0" fontId="0" fillId="0" borderId="7" xfId="0" applyBorder="1">
      <alignment vertical="center"/>
    </xf>
    <xf numFmtId="0" fontId="4" fillId="0" borderId="7" xfId="0" applyFont="1" applyBorder="1" applyAlignment="1">
      <alignment horizontal="center" vertical="center"/>
    </xf>
    <xf numFmtId="0" fontId="0" fillId="5" borderId="0" xfId="0" applyFill="1">
      <alignment vertical="center"/>
    </xf>
    <xf numFmtId="0" fontId="3" fillId="5" borderId="0" xfId="0" applyFont="1" applyFill="1">
      <alignment vertical="center"/>
    </xf>
    <xf numFmtId="0" fontId="18" fillId="5" borderId="0" xfId="0" applyFont="1" applyFill="1">
      <alignment vertical="center"/>
    </xf>
    <xf numFmtId="0" fontId="3" fillId="5" borderId="0" xfId="0" applyFont="1" applyFill="1" applyAlignment="1">
      <alignment horizontal="right"/>
    </xf>
    <xf numFmtId="0" fontId="3" fillId="5" borderId="0" xfId="0" applyFont="1" applyFill="1" applyAlignment="1"/>
    <xf numFmtId="0" fontId="20" fillId="5" borderId="0" xfId="0" applyFont="1" applyFill="1" applyAlignment="1">
      <alignment horizontal="left"/>
    </xf>
    <xf numFmtId="0" fontId="3" fillId="5" borderId="0" xfId="0" applyFont="1" applyFill="1" applyAlignment="1">
      <alignment horizontal="center"/>
    </xf>
    <xf numFmtId="0" fontId="19" fillId="5" borderId="0" xfId="0" applyFont="1" applyFill="1" applyAlignment="1">
      <alignment horizontal="left" vertical="center"/>
    </xf>
    <xf numFmtId="0" fontId="17" fillId="5" borderId="0" xfId="0" applyFont="1" applyFill="1" applyAlignment="1">
      <alignment horizontal="center" vertical="center"/>
    </xf>
    <xf numFmtId="0" fontId="0" fillId="6" borderId="0" xfId="0" applyFill="1" applyAlignment="1">
      <alignment horizontal="center"/>
    </xf>
    <xf numFmtId="0" fontId="0" fillId="6" borderId="0" xfId="0" applyFill="1">
      <alignment vertical="center"/>
    </xf>
    <xf numFmtId="0" fontId="3" fillId="6" borderId="0" xfId="0" applyFont="1" applyFill="1">
      <alignment vertical="center"/>
    </xf>
    <xf numFmtId="0" fontId="0" fillId="6" borderId="0" xfId="0" applyFill="1" applyAlignment="1">
      <alignment horizontal="center" vertical="center"/>
    </xf>
    <xf numFmtId="176" fontId="5" fillId="0" borderId="0" xfId="4" applyNumberFormat="1" applyFont="1" applyAlignment="1">
      <alignment horizontal="left" vertical="center"/>
    </xf>
    <xf numFmtId="176" fontId="5" fillId="9" borderId="0" xfId="3" applyNumberFormat="1" applyFont="1" applyFill="1" applyAlignment="1">
      <alignment horizontal="left" vertical="center"/>
    </xf>
    <xf numFmtId="0" fontId="19" fillId="10" borderId="12" xfId="0" applyFont="1" applyFill="1" applyBorder="1" applyAlignment="1">
      <alignment horizontal="center" vertical="center"/>
    </xf>
    <xf numFmtId="0" fontId="0" fillId="3" borderId="0" xfId="0" applyFill="1">
      <alignment vertical="center"/>
    </xf>
    <xf numFmtId="0" fontId="18" fillId="3" borderId="0" xfId="0" applyFont="1" applyFill="1">
      <alignment vertical="center"/>
    </xf>
    <xf numFmtId="0" fontId="0" fillId="3" borderId="0" xfId="0" applyFill="1" applyAlignment="1">
      <alignment horizontal="center"/>
    </xf>
    <xf numFmtId="0" fontId="19" fillId="14" borderId="0" xfId="0" applyFont="1" applyFill="1" applyAlignment="1">
      <alignment horizontal="center" vertical="center"/>
    </xf>
    <xf numFmtId="0" fontId="19" fillId="11" borderId="6" xfId="0" applyFont="1" applyFill="1" applyBorder="1" applyAlignment="1">
      <alignment horizontal="center" vertical="center"/>
    </xf>
    <xf numFmtId="0" fontId="19" fillId="15" borderId="12" xfId="0" applyFont="1" applyFill="1" applyBorder="1" applyAlignment="1">
      <alignment horizontal="center" vertical="center"/>
    </xf>
    <xf numFmtId="0" fontId="19" fillId="16" borderId="12" xfId="0" applyFont="1" applyFill="1" applyBorder="1" applyAlignment="1">
      <alignment horizontal="center" vertical="center"/>
    </xf>
    <xf numFmtId="0" fontId="19" fillId="13" borderId="12" xfId="0" applyFont="1" applyFill="1" applyBorder="1" applyAlignment="1">
      <alignment horizontal="center" vertical="center"/>
    </xf>
    <xf numFmtId="0" fontId="19" fillId="18" borderId="6" xfId="0" applyFont="1" applyFill="1" applyBorder="1" applyAlignment="1">
      <alignment horizontal="center" vertical="center"/>
    </xf>
    <xf numFmtId="0" fontId="23" fillId="3" borderId="0" xfId="0" applyFont="1" applyFill="1" applyAlignment="1">
      <alignment horizontal="center"/>
    </xf>
    <xf numFmtId="0" fontId="24" fillId="9" borderId="7" xfId="0" applyFont="1" applyFill="1" applyBorder="1" applyAlignment="1">
      <alignment horizontal="left" vertical="center"/>
    </xf>
    <xf numFmtId="0" fontId="24" fillId="19" borderId="7" xfId="0" applyFont="1" applyFill="1" applyBorder="1" applyAlignment="1">
      <alignment horizontal="left" vertical="center"/>
    </xf>
    <xf numFmtId="0" fontId="25" fillId="20" borderId="0" xfId="0" applyFont="1" applyFill="1">
      <alignment vertical="center"/>
    </xf>
    <xf numFmtId="0" fontId="25" fillId="19" borderId="0" xfId="0" applyFont="1" applyFill="1">
      <alignment vertical="center"/>
    </xf>
    <xf numFmtId="0" fontId="26" fillId="0" borderId="0" xfId="0" applyFont="1">
      <alignment vertical="center"/>
    </xf>
    <xf numFmtId="0" fontId="3" fillId="21" borderId="0" xfId="0" applyFont="1" applyFill="1">
      <alignment vertical="center"/>
    </xf>
    <xf numFmtId="0" fontId="1" fillId="2" borderId="13" xfId="0" applyFont="1" applyFill="1" applyBorder="1" applyAlignment="1">
      <alignment horizontal="center" vertical="center" wrapText="1" shrinkToFit="1"/>
    </xf>
    <xf numFmtId="0" fontId="1" fillId="2" borderId="14" xfId="0" applyFont="1" applyFill="1" applyBorder="1" applyAlignment="1">
      <alignment horizontal="center" vertical="center" wrapText="1" shrinkToFit="1"/>
    </xf>
    <xf numFmtId="0" fontId="3" fillId="0" borderId="15" xfId="0" applyFont="1" applyBorder="1" applyAlignment="1">
      <alignment horizontal="center" vertical="center" wrapText="1" shrinkToFit="1"/>
    </xf>
    <xf numFmtId="0" fontId="1" fillId="2" borderId="16" xfId="0" applyFont="1" applyFill="1" applyBorder="1" applyAlignment="1">
      <alignment horizontal="center" vertical="center" wrapText="1" shrinkToFit="1"/>
    </xf>
    <xf numFmtId="0" fontId="0" fillId="22" borderId="0" xfId="0" applyFill="1">
      <alignment vertical="center"/>
    </xf>
    <xf numFmtId="0" fontId="18" fillId="22" borderId="0" xfId="0" applyFont="1" applyFill="1">
      <alignment vertical="center"/>
    </xf>
    <xf numFmtId="0" fontId="1" fillId="2" borderId="17" xfId="0" applyFont="1" applyFill="1" applyBorder="1" applyAlignment="1">
      <alignment horizontal="center" vertical="center" wrapText="1" shrinkToFit="1"/>
    </xf>
    <xf numFmtId="0" fontId="3" fillId="23" borderId="0" xfId="0" applyFont="1" applyFill="1">
      <alignment vertical="center"/>
    </xf>
    <xf numFmtId="0" fontId="4" fillId="0" borderId="6" xfId="0" applyFont="1" applyBorder="1" applyAlignment="1">
      <alignment horizontal="left" vertical="center"/>
    </xf>
    <xf numFmtId="0" fontId="5" fillId="0" borderId="0" xfId="0" applyFont="1" applyAlignment="1">
      <alignment horizontal="left" vertical="center"/>
    </xf>
    <xf numFmtId="0" fontId="4" fillId="0" borderId="18" xfId="0" applyFont="1" applyBorder="1" applyAlignment="1">
      <alignment horizontal="left" vertical="center"/>
    </xf>
    <xf numFmtId="0" fontId="1" fillId="2" borderId="19" xfId="0" applyFont="1" applyFill="1" applyBorder="1" applyAlignment="1">
      <alignment horizontal="center" vertical="center" wrapText="1" shrinkToFit="1"/>
    </xf>
    <xf numFmtId="0" fontId="1" fillId="2" borderId="20" xfId="0" applyFont="1" applyFill="1" applyBorder="1" applyAlignment="1">
      <alignment horizontal="center" vertical="center" wrapText="1" shrinkToFit="1"/>
    </xf>
    <xf numFmtId="0" fontId="1" fillId="2" borderId="21" xfId="0" applyFont="1" applyFill="1" applyBorder="1" applyAlignment="1">
      <alignment horizontal="center" vertical="center" wrapText="1" shrinkToFit="1"/>
    </xf>
    <xf numFmtId="49" fontId="9" fillId="0" borderId="0" xfId="0" applyNumberFormat="1" applyFont="1" applyAlignment="1">
      <alignment horizontal="left" vertical="center"/>
    </xf>
    <xf numFmtId="0" fontId="28" fillId="0" borderId="0" xfId="0" applyFont="1" applyAlignment="1">
      <alignment horizontal="center"/>
    </xf>
    <xf numFmtId="0" fontId="29" fillId="0" borderId="0" xfId="0" applyFont="1" applyAlignment="1">
      <alignment horizontal="center"/>
    </xf>
    <xf numFmtId="0" fontId="29" fillId="0" borderId="0" xfId="0" applyFont="1" applyAlignment="1"/>
    <xf numFmtId="0" fontId="29" fillId="0" borderId="0" xfId="0" applyFont="1" applyAlignment="1">
      <alignment horizontal="center" vertical="center"/>
    </xf>
    <xf numFmtId="0" fontId="29" fillId="0" borderId="22" xfId="0" applyFont="1" applyBorder="1" applyAlignment="1">
      <alignment horizontal="center"/>
    </xf>
    <xf numFmtId="9" fontId="29" fillId="0" borderId="22" xfId="0" applyNumberFormat="1" applyFont="1" applyBorder="1" applyAlignment="1">
      <alignment horizontal="center"/>
    </xf>
    <xf numFmtId="0" fontId="29" fillId="0" borderId="0" xfId="0" applyFont="1">
      <alignment vertical="center"/>
    </xf>
    <xf numFmtId="0" fontId="0" fillId="24" borderId="0" xfId="0" applyFill="1">
      <alignment vertical="center"/>
    </xf>
    <xf numFmtId="0" fontId="18" fillId="0" borderId="0" xfId="0" applyFont="1" applyAlignment="1">
      <alignment vertical="center" wrapText="1"/>
    </xf>
    <xf numFmtId="0" fontId="17" fillId="0" borderId="6" xfId="0" applyFont="1" applyBorder="1" applyAlignment="1">
      <alignment horizontal="left" vertical="center"/>
    </xf>
    <xf numFmtId="0" fontId="30" fillId="0" borderId="0" xfId="0" applyFont="1">
      <alignment vertical="center"/>
    </xf>
    <xf numFmtId="0" fontId="18" fillId="6" borderId="0" xfId="0" applyFont="1" applyFill="1">
      <alignment vertical="center"/>
    </xf>
    <xf numFmtId="0" fontId="5" fillId="25" borderId="7" xfId="0" applyFont="1" applyFill="1" applyBorder="1" applyAlignment="1">
      <alignment horizontal="center" vertical="center"/>
    </xf>
    <xf numFmtId="0" fontId="5" fillId="26" borderId="7" xfId="0" applyFont="1" applyFill="1" applyBorder="1" applyAlignment="1">
      <alignment horizontal="center" vertical="center"/>
    </xf>
    <xf numFmtId="0" fontId="5" fillId="26" borderId="0" xfId="0" applyFont="1" applyFill="1" applyAlignment="1">
      <alignment horizontal="center" vertical="center"/>
    </xf>
    <xf numFmtId="0" fontId="5" fillId="9" borderId="7" xfId="0" applyFont="1" applyFill="1" applyBorder="1" applyAlignment="1">
      <alignment horizontal="center" vertical="center"/>
    </xf>
    <xf numFmtId="0" fontId="5" fillId="9" borderId="0" xfId="0" applyFont="1" applyFill="1" applyAlignment="1">
      <alignment horizontal="center" vertical="center"/>
    </xf>
    <xf numFmtId="49" fontId="5" fillId="19" borderId="7" xfId="0" applyNumberFormat="1" applyFont="1" applyFill="1" applyBorder="1" applyAlignment="1">
      <alignment horizontal="center" vertical="center"/>
    </xf>
    <xf numFmtId="0" fontId="18" fillId="3" borderId="18" xfId="0" applyFont="1" applyFill="1" applyBorder="1">
      <alignment vertical="center"/>
    </xf>
    <xf numFmtId="0" fontId="19" fillId="0" borderId="0" xfId="0" applyFont="1" applyAlignment="1">
      <alignment horizontal="left" vertical="center"/>
    </xf>
    <xf numFmtId="0" fontId="17" fillId="0" borderId="0" xfId="0" applyFont="1" applyAlignment="1">
      <alignment horizontal="left" vertical="center"/>
    </xf>
    <xf numFmtId="0" fontId="19" fillId="0" borderId="0" xfId="0" applyFont="1" applyAlignment="1">
      <alignment horizontal="left" vertical="center" wrapText="1"/>
    </xf>
    <xf numFmtId="0" fontId="0" fillId="0" borderId="6" xfId="0" applyBorder="1">
      <alignment vertical="center"/>
    </xf>
    <xf numFmtId="0" fontId="18" fillId="0" borderId="6" xfId="0" applyFont="1" applyBorder="1">
      <alignment vertical="center"/>
    </xf>
    <xf numFmtId="0" fontId="17" fillId="0" borderId="7" xfId="0" applyFont="1" applyBorder="1" applyAlignment="1">
      <alignment horizontal="left" vertical="center"/>
    </xf>
    <xf numFmtId="0" fontId="5" fillId="9" borderId="6" xfId="0" applyFont="1" applyFill="1" applyBorder="1" applyAlignment="1">
      <alignment horizontal="center" vertical="center"/>
    </xf>
    <xf numFmtId="0" fontId="24" fillId="19" borderId="6" xfId="0" applyFont="1" applyFill="1" applyBorder="1" applyAlignment="1">
      <alignment horizontal="left" vertical="center"/>
    </xf>
    <xf numFmtId="0" fontId="24" fillId="9" borderId="6" xfId="0" applyFont="1" applyFill="1" applyBorder="1" applyAlignment="1">
      <alignment horizontal="left" vertical="center"/>
    </xf>
    <xf numFmtId="0" fontId="5" fillId="26" borderId="6" xfId="0" applyFont="1" applyFill="1" applyBorder="1" applyAlignment="1">
      <alignment horizontal="center" vertical="center"/>
    </xf>
    <xf numFmtId="0" fontId="19" fillId="12" borderId="0" xfId="0" applyFont="1" applyFill="1" applyAlignment="1">
      <alignment horizontal="center" vertical="center"/>
    </xf>
    <xf numFmtId="0" fontId="19" fillId="11" borderId="0" xfId="0" applyFont="1" applyFill="1" applyAlignment="1">
      <alignment horizontal="center" vertical="center"/>
    </xf>
    <xf numFmtId="0" fontId="17" fillId="0" borderId="12" xfId="0" applyFont="1" applyBorder="1" applyAlignment="1">
      <alignment horizontal="right" vertical="center"/>
    </xf>
    <xf numFmtId="0" fontId="19" fillId="17" borderId="0" xfId="0" applyFont="1" applyFill="1" applyAlignment="1">
      <alignment horizontal="center" vertical="center"/>
    </xf>
    <xf numFmtId="0" fontId="19" fillId="14" borderId="12" xfId="0" applyFont="1" applyFill="1" applyBorder="1" applyAlignment="1">
      <alignment horizontal="center" vertical="center"/>
    </xf>
    <xf numFmtId="0" fontId="19" fillId="16" borderId="0" xfId="0" applyFont="1" applyFill="1" applyAlignment="1">
      <alignment horizontal="center" vertical="center"/>
    </xf>
    <xf numFmtId="0" fontId="19" fillId="13" borderId="6" xfId="0" applyFont="1" applyFill="1" applyBorder="1" applyAlignment="1">
      <alignment horizontal="center" vertical="center"/>
    </xf>
    <xf numFmtId="0" fontId="19" fillId="15" borderId="0" xfId="0" applyFont="1" applyFill="1" applyAlignment="1">
      <alignment horizontal="center" vertical="center"/>
    </xf>
    <xf numFmtId="0" fontId="19" fillId="15" borderId="6" xfId="0" applyFont="1" applyFill="1" applyBorder="1" applyAlignment="1">
      <alignment horizontal="center" vertical="center"/>
    </xf>
    <xf numFmtId="0" fontId="19" fillId="17" borderId="6" xfId="0" applyFont="1" applyFill="1" applyBorder="1" applyAlignment="1">
      <alignment horizontal="center" vertical="center"/>
    </xf>
    <xf numFmtId="0" fontId="5" fillId="25" borderId="0" xfId="0" applyFont="1" applyFill="1" applyAlignment="1">
      <alignment horizontal="center" vertical="center"/>
    </xf>
    <xf numFmtId="0" fontId="3" fillId="3" borderId="7" xfId="0" applyFont="1" applyFill="1" applyBorder="1">
      <alignment vertical="center"/>
    </xf>
    <xf numFmtId="0" fontId="19" fillId="10" borderId="6" xfId="0" applyFont="1" applyFill="1" applyBorder="1" applyAlignment="1">
      <alignment horizontal="center" vertical="center"/>
    </xf>
    <xf numFmtId="0" fontId="3" fillId="3" borderId="26" xfId="0" applyFont="1" applyFill="1" applyBorder="1">
      <alignment vertical="center"/>
    </xf>
    <xf numFmtId="0" fontId="24" fillId="19" borderId="0" xfId="0" applyFont="1" applyFill="1" applyAlignment="1">
      <alignment horizontal="left" vertical="center"/>
    </xf>
    <xf numFmtId="0" fontId="25" fillId="19" borderId="27" xfId="0" applyFont="1" applyFill="1" applyBorder="1">
      <alignment vertical="center"/>
    </xf>
    <xf numFmtId="0" fontId="17" fillId="27" borderId="6" xfId="0" applyFont="1" applyFill="1" applyBorder="1" applyAlignment="1">
      <alignment horizontal="left" vertical="center"/>
    </xf>
    <xf numFmtId="0" fontId="17" fillId="28" borderId="6" xfId="0" applyFont="1" applyFill="1" applyBorder="1" applyAlignment="1">
      <alignment horizontal="left" vertical="center"/>
    </xf>
    <xf numFmtId="0" fontId="17" fillId="10" borderId="6" xfId="0" applyFont="1" applyFill="1" applyBorder="1" applyAlignment="1">
      <alignment horizontal="left" vertical="center"/>
    </xf>
    <xf numFmtId="0" fontId="17" fillId="14" borderId="6" xfId="0" applyFont="1" applyFill="1" applyBorder="1" applyAlignment="1">
      <alignment horizontal="left" vertical="center"/>
    </xf>
    <xf numFmtId="0" fontId="17" fillId="13" borderId="6" xfId="0" applyFont="1" applyFill="1" applyBorder="1" applyAlignment="1">
      <alignment horizontal="left" vertical="center"/>
    </xf>
    <xf numFmtId="0" fontId="31" fillId="14" borderId="18" xfId="0" applyFont="1" applyFill="1" applyBorder="1" applyAlignment="1">
      <alignment horizontal="center" vertical="center"/>
    </xf>
    <xf numFmtId="0" fontId="31" fillId="14" borderId="28" xfId="0" applyFont="1" applyFill="1" applyBorder="1" applyAlignment="1">
      <alignment horizontal="center" vertical="center"/>
    </xf>
    <xf numFmtId="49" fontId="17" fillId="14" borderId="11" xfId="0" applyNumberFormat="1" applyFont="1" applyFill="1" applyBorder="1" applyAlignment="1">
      <alignment horizontal="center" vertical="center"/>
    </xf>
    <xf numFmtId="49" fontId="17" fillId="6" borderId="11" xfId="0" applyNumberFormat="1" applyFont="1" applyFill="1" applyBorder="1" applyAlignment="1">
      <alignment horizontal="center" vertical="center"/>
    </xf>
    <xf numFmtId="0" fontId="31" fillId="6" borderId="28" xfId="0" applyFont="1" applyFill="1" applyBorder="1" applyAlignment="1">
      <alignment horizontal="center" vertical="center"/>
    </xf>
    <xf numFmtId="0" fontId="3" fillId="26" borderId="12" xfId="0" applyFont="1" applyFill="1" applyBorder="1" applyAlignment="1">
      <alignment horizontal="center" vertical="center"/>
    </xf>
    <xf numFmtId="0" fontId="1" fillId="2" borderId="29" xfId="0" applyFont="1" applyFill="1" applyBorder="1" applyAlignment="1">
      <alignment horizontal="center" vertical="center" wrapText="1" shrinkToFit="1"/>
    </xf>
    <xf numFmtId="0" fontId="0" fillId="0" borderId="11" xfId="0" applyBorder="1">
      <alignment vertical="center"/>
    </xf>
    <xf numFmtId="0" fontId="33" fillId="29" borderId="30" xfId="0" applyFont="1" applyFill="1" applyBorder="1" applyAlignment="1">
      <alignment horizontal="center" vertical="center" wrapText="1"/>
    </xf>
    <xf numFmtId="0" fontId="33" fillId="29" borderId="31" xfId="0" applyFont="1" applyFill="1" applyBorder="1" applyAlignment="1">
      <alignment horizontal="center" vertical="center" wrapText="1"/>
    </xf>
    <xf numFmtId="0" fontId="1" fillId="2" borderId="32" xfId="0" applyFont="1" applyFill="1" applyBorder="1" applyAlignment="1">
      <alignment horizontal="center" vertical="center" wrapText="1" shrinkToFit="1"/>
    </xf>
    <xf numFmtId="0" fontId="1" fillId="2" borderId="33" xfId="0" applyFont="1" applyFill="1" applyBorder="1" applyAlignment="1">
      <alignment horizontal="center" vertical="center" wrapText="1" shrinkToFit="1"/>
    </xf>
    <xf numFmtId="0" fontId="1" fillId="2" borderId="34" xfId="0" applyFont="1" applyFill="1" applyBorder="1" applyAlignment="1">
      <alignment horizontal="center" vertical="center" wrapText="1" shrinkToFit="1"/>
    </xf>
    <xf numFmtId="0" fontId="1" fillId="2" borderId="35" xfId="0" applyFont="1" applyFill="1" applyBorder="1" applyAlignment="1">
      <alignment horizontal="center" vertical="center" wrapText="1" shrinkToFit="1"/>
    </xf>
    <xf numFmtId="0" fontId="1" fillId="2" borderId="36" xfId="0" applyFont="1" applyFill="1" applyBorder="1" applyAlignment="1">
      <alignment horizontal="center" vertical="center" wrapText="1" shrinkToFit="1"/>
    </xf>
    <xf numFmtId="0" fontId="3" fillId="30" borderId="12" xfId="0" applyFont="1" applyFill="1" applyBorder="1" applyAlignment="1">
      <alignment horizontal="center" vertical="center"/>
    </xf>
    <xf numFmtId="0" fontId="0" fillId="31" borderId="0" xfId="0" applyFill="1">
      <alignment vertical="center"/>
    </xf>
    <xf numFmtId="0" fontId="31" fillId="31" borderId="18" xfId="0" applyFont="1" applyFill="1" applyBorder="1" applyAlignment="1">
      <alignment horizontal="center" vertical="center"/>
    </xf>
    <xf numFmtId="0" fontId="0" fillId="32" borderId="0" xfId="0" applyFill="1">
      <alignment vertical="center"/>
    </xf>
    <xf numFmtId="0" fontId="31" fillId="32" borderId="28" xfId="0" applyFont="1" applyFill="1" applyBorder="1" applyAlignment="1">
      <alignment horizontal="center" vertical="center"/>
    </xf>
    <xf numFmtId="0" fontId="17" fillId="14" borderId="6" xfId="0" applyFont="1" applyFill="1" applyBorder="1" applyAlignment="1">
      <alignment horizontal="center" vertical="center"/>
    </xf>
    <xf numFmtId="49" fontId="17" fillId="27" borderId="11" xfId="0" applyNumberFormat="1" applyFont="1" applyFill="1" applyBorder="1" applyAlignment="1">
      <alignment horizontal="center" vertical="center"/>
    </xf>
    <xf numFmtId="0" fontId="17" fillId="27" borderId="6" xfId="0" applyFont="1" applyFill="1" applyBorder="1" applyAlignment="1">
      <alignment horizontal="center" vertical="center"/>
    </xf>
    <xf numFmtId="49" fontId="17" fillId="33" borderId="11" xfId="0" applyNumberFormat="1" applyFont="1" applyFill="1" applyBorder="1" applyAlignment="1">
      <alignment horizontal="center" vertical="center"/>
    </xf>
    <xf numFmtId="0" fontId="17" fillId="33" borderId="6" xfId="0" applyFont="1" applyFill="1" applyBorder="1" applyAlignment="1">
      <alignment horizontal="center" vertical="center"/>
    </xf>
    <xf numFmtId="49" fontId="17" fillId="28" borderId="11" xfId="0" applyNumberFormat="1" applyFont="1" applyFill="1" applyBorder="1" applyAlignment="1">
      <alignment horizontal="center" vertical="center"/>
    </xf>
    <xf numFmtId="0" fontId="17" fillId="28" borderId="6" xfId="0" applyFont="1" applyFill="1" applyBorder="1" applyAlignment="1">
      <alignment horizontal="center" vertical="center"/>
    </xf>
    <xf numFmtId="0" fontId="17" fillId="14" borderId="11" xfId="0" applyFont="1" applyFill="1" applyBorder="1" applyAlignment="1">
      <alignment horizontal="center" vertical="center"/>
    </xf>
    <xf numFmtId="0" fontId="17" fillId="27" borderId="11" xfId="0" applyFont="1" applyFill="1" applyBorder="1" applyAlignment="1">
      <alignment horizontal="center" vertical="center"/>
    </xf>
    <xf numFmtId="0" fontId="17" fillId="33" borderId="11" xfId="0" applyFont="1" applyFill="1" applyBorder="1" applyAlignment="1">
      <alignment horizontal="center" vertical="center"/>
    </xf>
    <xf numFmtId="0" fontId="17" fillId="28" borderId="11" xfId="0" applyFont="1" applyFill="1" applyBorder="1" applyAlignment="1">
      <alignment horizontal="center" vertical="center"/>
    </xf>
    <xf numFmtId="0" fontId="17" fillId="33" borderId="6" xfId="0" applyFont="1" applyFill="1" applyBorder="1" applyAlignment="1">
      <alignment horizontal="left" vertical="center"/>
    </xf>
    <xf numFmtId="0" fontId="9" fillId="0" borderId="0" xfId="0" applyFont="1" applyAlignment="1">
      <alignment horizontal="center" vertical="center"/>
    </xf>
    <xf numFmtId="0" fontId="3" fillId="0" borderId="0" xfId="0" applyFont="1" applyAlignment="1">
      <alignment horizontal="center" vertical="center"/>
    </xf>
    <xf numFmtId="0" fontId="29" fillId="34" borderId="22" xfId="0" applyFont="1" applyFill="1" applyBorder="1" applyAlignment="1">
      <alignment horizontal="center"/>
    </xf>
    <xf numFmtId="0" fontId="28" fillId="34" borderId="22" xfId="0" applyFont="1" applyFill="1" applyBorder="1" applyAlignment="1">
      <alignment horizontal="center"/>
    </xf>
    <xf numFmtId="9" fontId="29" fillId="34" borderId="22" xfId="0" applyNumberFormat="1" applyFont="1" applyFill="1" applyBorder="1" applyAlignment="1">
      <alignment horizontal="center"/>
    </xf>
    <xf numFmtId="10" fontId="29" fillId="34" borderId="22" xfId="0" applyNumberFormat="1" applyFont="1" applyFill="1" applyBorder="1" applyAlignment="1">
      <alignment horizontal="center"/>
    </xf>
    <xf numFmtId="0" fontId="34" fillId="0" borderId="0" xfId="0" applyFont="1">
      <alignment vertical="center"/>
    </xf>
    <xf numFmtId="0" fontId="34" fillId="35" borderId="0" xfId="0" applyFont="1" applyFill="1">
      <alignment vertical="center"/>
    </xf>
    <xf numFmtId="0" fontId="34" fillId="36" borderId="0" xfId="0" applyFont="1" applyFill="1">
      <alignment vertical="center"/>
    </xf>
    <xf numFmtId="0" fontId="34" fillId="37" borderId="0" xfId="0" applyFont="1" applyFill="1">
      <alignment vertical="center"/>
    </xf>
    <xf numFmtId="0" fontId="28" fillId="34" borderId="0" xfId="0" applyFont="1" applyFill="1" applyAlignment="1">
      <alignment horizontal="center"/>
    </xf>
    <xf numFmtId="0" fontId="29" fillId="34" borderId="0" xfId="0" applyFont="1" applyFill="1" applyAlignment="1">
      <alignment horizontal="center" vertical="center"/>
    </xf>
    <xf numFmtId="0" fontId="1" fillId="2" borderId="37" xfId="0" applyFont="1" applyFill="1" applyBorder="1" applyAlignment="1">
      <alignment horizontal="center" vertical="center" wrapText="1" shrinkToFit="1"/>
    </xf>
    <xf numFmtId="0" fontId="19" fillId="14" borderId="6" xfId="0" applyFont="1" applyFill="1" applyBorder="1" applyAlignment="1">
      <alignment horizontal="center" vertical="center"/>
    </xf>
    <xf numFmtId="49" fontId="31" fillId="14" borderId="11" xfId="0" applyNumberFormat="1" applyFont="1" applyFill="1" applyBorder="1" applyAlignment="1">
      <alignment horizontal="center" vertical="center"/>
    </xf>
    <xf numFmtId="49" fontId="31" fillId="14" borderId="38" xfId="0" applyNumberFormat="1" applyFont="1" applyFill="1" applyBorder="1" applyAlignment="1">
      <alignment horizontal="center" vertical="center"/>
    </xf>
    <xf numFmtId="0" fontId="31" fillId="14" borderId="12" xfId="0" applyFont="1" applyFill="1" applyBorder="1" applyAlignment="1">
      <alignment horizontal="center" vertical="center"/>
    </xf>
    <xf numFmtId="49" fontId="31" fillId="27" borderId="38" xfId="0" applyNumberFormat="1" applyFont="1" applyFill="1" applyBorder="1" applyAlignment="1">
      <alignment horizontal="center" vertical="center"/>
    </xf>
    <xf numFmtId="0" fontId="17" fillId="13" borderId="6" xfId="0" applyFont="1" applyFill="1" applyBorder="1" applyAlignment="1">
      <alignment horizontal="center" vertical="center"/>
    </xf>
    <xf numFmtId="0" fontId="17" fillId="10" borderId="6" xfId="0" applyFont="1" applyFill="1" applyBorder="1" applyAlignment="1">
      <alignment horizontal="center" vertical="center"/>
    </xf>
    <xf numFmtId="49" fontId="17" fillId="13" borderId="11" xfId="0" applyNumberFormat="1" applyFont="1" applyFill="1" applyBorder="1" applyAlignment="1">
      <alignment horizontal="center" vertical="center"/>
    </xf>
    <xf numFmtId="49" fontId="17" fillId="10" borderId="11" xfId="0" applyNumberFormat="1" applyFont="1" applyFill="1" applyBorder="1" applyAlignment="1">
      <alignment horizontal="center" vertical="center"/>
    </xf>
    <xf numFmtId="49" fontId="17" fillId="33" borderId="39" xfId="0" applyNumberFormat="1" applyFont="1" applyFill="1" applyBorder="1" applyAlignment="1">
      <alignment horizontal="center" vertical="center"/>
    </xf>
    <xf numFmtId="0" fontId="9" fillId="0" borderId="0" xfId="0" quotePrefix="1" applyFont="1" applyAlignment="1">
      <alignment horizontal="left" vertical="center"/>
    </xf>
    <xf numFmtId="0" fontId="23" fillId="0" borderId="0" xfId="0" applyFont="1">
      <alignment vertical="center"/>
    </xf>
    <xf numFmtId="49" fontId="17" fillId="14" borderId="38" xfId="0" applyNumberFormat="1" applyFont="1" applyFill="1" applyBorder="1" applyAlignment="1">
      <alignment horizontal="center" vertical="center"/>
    </xf>
    <xf numFmtId="49" fontId="17" fillId="38" borderId="38" xfId="0" applyNumberFormat="1" applyFont="1" applyFill="1" applyBorder="1" applyAlignment="1">
      <alignment horizontal="center" vertical="center"/>
    </xf>
    <xf numFmtId="49" fontId="17" fillId="27" borderId="38" xfId="0" applyNumberFormat="1" applyFont="1" applyFill="1" applyBorder="1" applyAlignment="1">
      <alignment horizontal="center" vertical="center"/>
    </xf>
    <xf numFmtId="49" fontId="17" fillId="39" borderId="38" xfId="0" applyNumberFormat="1" applyFont="1" applyFill="1" applyBorder="1" applyAlignment="1">
      <alignment horizontal="center" vertical="center"/>
    </xf>
    <xf numFmtId="49" fontId="17" fillId="33" borderId="38" xfId="0" applyNumberFormat="1" applyFont="1" applyFill="1" applyBorder="1" applyAlignment="1">
      <alignment horizontal="center" vertical="center"/>
    </xf>
    <xf numFmtId="0" fontId="17" fillId="14" borderId="38" xfId="0" applyFont="1" applyFill="1" applyBorder="1" applyAlignment="1">
      <alignment horizontal="center" vertical="center"/>
    </xf>
    <xf numFmtId="0" fontId="17" fillId="38" borderId="38" xfId="0" applyFont="1" applyFill="1" applyBorder="1" applyAlignment="1">
      <alignment horizontal="center" vertical="center"/>
    </xf>
    <xf numFmtId="0" fontId="17" fillId="27" borderId="38" xfId="0" applyFont="1" applyFill="1" applyBorder="1" applyAlignment="1">
      <alignment horizontal="center" vertical="center"/>
    </xf>
    <xf numFmtId="0" fontId="17" fillId="39" borderId="38" xfId="0" applyFont="1" applyFill="1" applyBorder="1" applyAlignment="1">
      <alignment horizontal="center" vertical="center"/>
    </xf>
    <xf numFmtId="0" fontId="17" fillId="33" borderId="38" xfId="0" applyFont="1" applyFill="1" applyBorder="1" applyAlignment="1">
      <alignment horizontal="center" vertical="center"/>
    </xf>
    <xf numFmtId="0" fontId="3" fillId="19" borderId="12" xfId="0" applyFont="1" applyFill="1" applyBorder="1" applyAlignment="1">
      <alignment horizontal="center" vertical="center"/>
    </xf>
    <xf numFmtId="0" fontId="31" fillId="13" borderId="6" xfId="0" applyFont="1" applyFill="1" applyBorder="1" applyAlignment="1">
      <alignment horizontal="center" vertical="center"/>
    </xf>
    <xf numFmtId="0" fontId="31" fillId="13" borderId="12" xfId="0" applyFont="1" applyFill="1" applyBorder="1" applyAlignment="1">
      <alignment horizontal="center" vertical="center"/>
    </xf>
    <xf numFmtId="0" fontId="31" fillId="27" borderId="12" xfId="0" applyFont="1" applyFill="1" applyBorder="1" applyAlignment="1">
      <alignment horizontal="center" vertical="center"/>
    </xf>
    <xf numFmtId="0" fontId="31" fillId="28" borderId="12" xfId="0" applyFont="1" applyFill="1" applyBorder="1" applyAlignment="1">
      <alignment horizontal="center" vertical="center"/>
    </xf>
    <xf numFmtId="0" fontId="31" fillId="10" borderId="12" xfId="0" applyFont="1" applyFill="1" applyBorder="1" applyAlignment="1">
      <alignment horizontal="center" vertical="center"/>
    </xf>
    <xf numFmtId="0" fontId="31" fillId="33" borderId="12" xfId="0" applyFont="1" applyFill="1" applyBorder="1" applyAlignment="1">
      <alignment horizontal="center" vertical="center"/>
    </xf>
    <xf numFmtId="49" fontId="31" fillId="13" borderId="11" xfId="0" applyNumberFormat="1" applyFont="1" applyFill="1" applyBorder="1" applyAlignment="1">
      <alignment horizontal="center" vertical="center"/>
    </xf>
    <xf numFmtId="49" fontId="31" fillId="13" borderId="38" xfId="0" applyNumberFormat="1" applyFont="1" applyFill="1" applyBorder="1" applyAlignment="1">
      <alignment horizontal="center" vertical="center"/>
    </xf>
    <xf numFmtId="49" fontId="31" fillId="28" borderId="38" xfId="0" applyNumberFormat="1" applyFont="1" applyFill="1" applyBorder="1" applyAlignment="1">
      <alignment horizontal="center" vertical="center"/>
    </xf>
    <xf numFmtId="49" fontId="31" fillId="10" borderId="38" xfId="0" applyNumberFormat="1" applyFont="1" applyFill="1" applyBorder="1" applyAlignment="1">
      <alignment horizontal="center" vertical="center"/>
    </xf>
    <xf numFmtId="49" fontId="31" fillId="33" borderId="38" xfId="0" applyNumberFormat="1" applyFont="1" applyFill="1" applyBorder="1" applyAlignment="1">
      <alignment horizontal="center" vertical="center"/>
    </xf>
    <xf numFmtId="49" fontId="31" fillId="33" borderId="28" xfId="0" applyNumberFormat="1" applyFont="1" applyFill="1" applyBorder="1" applyAlignment="1">
      <alignment horizontal="center" vertical="center"/>
    </xf>
    <xf numFmtId="0" fontId="23" fillId="32" borderId="0" xfId="0" applyFont="1" applyFill="1" applyAlignment="1">
      <alignment horizontal="center"/>
    </xf>
    <xf numFmtId="0" fontId="0" fillId="32" borderId="0" xfId="0" applyFill="1" applyAlignment="1">
      <alignment horizontal="center"/>
    </xf>
    <xf numFmtId="0" fontId="0" fillId="32" borderId="0" xfId="0" applyFill="1" applyAlignment="1"/>
    <xf numFmtId="0" fontId="3" fillId="32" borderId="0" xfId="0" applyFont="1" applyFill="1">
      <alignment vertical="center"/>
    </xf>
    <xf numFmtId="0" fontId="18" fillId="32" borderId="0" xfId="0" applyFont="1" applyFill="1">
      <alignment vertical="center"/>
    </xf>
    <xf numFmtId="0" fontId="0" fillId="30" borderId="0" xfId="0" applyFill="1">
      <alignment vertical="center"/>
    </xf>
    <xf numFmtId="0" fontId="18" fillId="30" borderId="0" xfId="0" applyFont="1" applyFill="1">
      <alignment vertical="center"/>
    </xf>
    <xf numFmtId="0" fontId="0" fillId="30" borderId="0" xfId="0" applyFill="1" applyAlignment="1">
      <alignment horizontal="center"/>
    </xf>
    <xf numFmtId="0" fontId="0" fillId="30" borderId="6" xfId="0" applyFill="1" applyBorder="1">
      <alignment vertical="center"/>
    </xf>
    <xf numFmtId="0" fontId="0" fillId="31" borderId="7" xfId="0" applyFill="1" applyBorder="1">
      <alignment vertical="center"/>
    </xf>
    <xf numFmtId="0" fontId="6" fillId="0" borderId="0" xfId="0" applyNumberFormat="1" applyFont="1" applyFill="1" applyBorder="1" applyAlignment="1" applyProtection="1"/>
    <xf numFmtId="0" fontId="6" fillId="0" borderId="0" xfId="0" applyNumberFormat="1" applyFont="1" applyFill="1" applyBorder="1" applyAlignment="1" applyProtection="1">
      <alignment vertical="center"/>
    </xf>
    <xf numFmtId="0" fontId="6" fillId="40" borderId="0" xfId="0" applyNumberFormat="1" applyFont="1" applyFill="1" applyBorder="1" applyAlignment="1" applyProtection="1">
      <alignment vertical="center"/>
    </xf>
    <xf numFmtId="0" fontId="30" fillId="0" borderId="18" xfId="0" applyNumberFormat="1" applyFont="1" applyFill="1" applyBorder="1" applyAlignment="1" applyProtection="1">
      <alignment horizontal="left" vertical="center"/>
    </xf>
    <xf numFmtId="0" fontId="29" fillId="0" borderId="23" xfId="0" applyFont="1" applyBorder="1" applyAlignment="1">
      <alignment horizontal="center" vertical="center"/>
    </xf>
    <xf numFmtId="0" fontId="29" fillId="0" borderId="24" xfId="0" applyFont="1" applyBorder="1" applyAlignment="1">
      <alignment horizontal="center" vertical="center"/>
    </xf>
    <xf numFmtId="0" fontId="29" fillId="0" borderId="25" xfId="0" applyFont="1" applyBorder="1" applyAlignment="1">
      <alignment horizontal="center" vertical="center"/>
    </xf>
  </cellXfs>
  <cellStyles count="6">
    <cellStyle name="常规" xfId="0" builtinId="0"/>
    <cellStyle name="常规 2" xfId="5" xr:uid="{00000000-0005-0000-0000-000001000000}"/>
    <cellStyle name="常规 3" xfId="1" xr:uid="{00000000-0005-0000-0000-000002000000}"/>
    <cellStyle name="常规 4" xfId="2" xr:uid="{00000000-0005-0000-0000-000003000000}"/>
    <cellStyle name="常规 5" xfId="3" xr:uid="{00000000-0005-0000-0000-000004000000}"/>
    <cellStyle name="常规 6" xfId="4" xr:uid="{00000000-0005-0000-0000-000005000000}"/>
  </cellStyles>
  <dxfs count="308">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ill>
        <patternFill>
          <fgColor indexed="64"/>
          <bgColor rgb="FFFF0000"/>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ill>
        <patternFill patternType="none">
          <fgColor indexed="64"/>
          <bgColor rgb="FFFF0000"/>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fgColor indexed="64"/>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none">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none">
          <fgColor indexed="64"/>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none">
          <fgColor indexed="64"/>
          <bgColor rgb="FFFF0000"/>
        </patternFill>
      </fill>
    </dxf>
    <dxf>
      <fill>
        <patternFill patternType="solid">
          <bgColor rgb="FFFF0000"/>
        </patternFill>
      </fill>
    </dxf>
    <dxf>
      <fill>
        <patternFill patternType="none">
          <fgColor indexed="64"/>
          <bgColor rgb="FFFF0000"/>
        </patternFill>
      </fill>
    </dxf>
    <dxf>
      <fill>
        <patternFill patternType="none">
          <fgColor indexed="64"/>
          <bgColor rgb="FFFF0000"/>
        </patternFill>
      </fill>
    </dxf>
    <dxf>
      <fill>
        <patternFill patternType="none">
          <fgColor indexed="64"/>
          <bgColor rgb="FFFF0000"/>
        </patternFill>
      </fill>
    </dxf>
    <dxf>
      <fill>
        <patternFill patternType="none">
          <fgColor indexed="64"/>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none">
          <fgColor indexed="64"/>
          <bgColor rgb="FFFF0000"/>
        </patternFill>
      </fill>
    </dxf>
    <dxf>
      <fill>
        <patternFill patternType="none">
          <fgColor indexed="64"/>
          <bgColor rgb="FFFF0000"/>
        </patternFill>
      </fill>
    </dxf>
    <dxf>
      <fill>
        <patternFill patternType="none">
          <fgColor indexed="64"/>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solid">
          <bgColor rgb="FFFFC7CE"/>
        </patternFill>
      </fill>
    </dxf>
    <dxf>
      <fill>
        <patternFill patternType="solid">
          <bgColor theme="0"/>
        </patternFill>
      </fill>
    </dxf>
    <dxf>
      <fill>
        <patternFill patternType="solid">
          <bgColor theme="6" tint="0.3966490676595355"/>
        </patternFill>
      </fill>
    </dxf>
    <dxf>
      <fill>
        <patternFill patternType="solid">
          <bgColor theme="3" tint="0.59996337778862885"/>
        </patternFill>
      </fill>
    </dxf>
    <dxf>
      <fill>
        <patternFill patternType="solid">
          <bgColor theme="7" tint="0.3966490676595355"/>
        </patternFill>
      </fill>
    </dxf>
    <dxf>
      <fill>
        <patternFill patternType="solid">
          <bgColor theme="9" tint="0.3966490676595355"/>
        </patternFill>
      </fill>
    </dxf>
    <dxf>
      <fill>
        <patternFill patternType="none">
          <bgColor theme="7" tint="0.59996337778862885"/>
        </patternFill>
      </fill>
    </dxf>
    <dxf>
      <fill>
        <patternFill patternType="none">
          <bgColor theme="9" tint="0.7993713187047945"/>
        </patternFill>
      </fill>
    </dxf>
    <dxf>
      <fill>
        <gradientFill type="path" left="0.5" right="0.5" top="0.5" bottom="0.5">
          <stop position="0">
            <color theme="0"/>
          </stop>
          <stop position="1">
            <color theme="4" tint="0.59999389629810485"/>
          </stop>
        </gradientFill>
      </fill>
    </dxf>
    <dxf>
      <fill>
        <patternFill patternType="none">
          <bgColor theme="6" tint="0.7993713187047945"/>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b/>
        <i val="0"/>
      </font>
      <fill>
        <patternFill patternType="solid">
          <bgColor rgb="FFFF0000"/>
        </patternFill>
      </fill>
    </dxf>
    <dxf>
      <font>
        <b/>
        <i val="0"/>
        <color theme="0"/>
      </font>
      <fill>
        <gradientFill degree="90">
          <stop position="0">
            <color theme="9" tint="0.59999389629810485"/>
          </stop>
          <stop position="0">
            <color theme="9" tint="-0.25098422193060094"/>
          </stop>
          <stop position="1">
            <color theme="9" tint="0.59999389629810485"/>
          </stop>
        </gradientFill>
      </fill>
    </dxf>
    <dxf>
      <font>
        <b/>
        <i val="0"/>
        <color theme="0"/>
      </font>
      <fill>
        <gradientFill degree="90">
          <stop position="0">
            <color theme="3" tint="0.59999389629810485"/>
          </stop>
          <stop position="0">
            <color theme="4" tint="-0.25098422193060094"/>
          </stop>
          <stop position="1">
            <color theme="3" tint="0.59999389629810485"/>
          </stop>
        </gradientFill>
      </fill>
    </dxf>
    <dxf>
      <font>
        <b/>
        <i val="0"/>
        <color auto="1"/>
      </font>
      <fill>
        <patternFill patternType="none"/>
      </fill>
    </dxf>
    <dxf>
      <font>
        <b/>
        <i val="0"/>
      </font>
      <fill>
        <patternFill patternType="solid">
          <bgColor rgb="FFFF0000"/>
        </patternFill>
      </fill>
    </dxf>
    <dxf>
      <font>
        <b/>
        <i val="0"/>
        <color theme="0"/>
      </font>
      <fill>
        <gradientFill degree="90">
          <stop position="0">
            <color theme="9" tint="0.59999389629810485"/>
          </stop>
          <stop position="0">
            <color theme="9" tint="-0.25098422193060094"/>
          </stop>
          <stop position="1">
            <color theme="9" tint="0.59999389629810485"/>
          </stop>
        </gradientFill>
      </fill>
    </dxf>
    <dxf>
      <font>
        <b/>
        <i val="0"/>
        <color theme="0"/>
      </font>
      <fill>
        <gradientFill degree="90">
          <stop position="0">
            <color theme="3" tint="0.59999389629810485"/>
          </stop>
          <stop position="0">
            <color theme="4" tint="-0.25098422193060094"/>
          </stop>
          <stop position="1">
            <color theme="3" tint="0.59999389629810485"/>
          </stop>
        </gradientFill>
      </fill>
    </dxf>
    <dxf>
      <font>
        <b/>
        <i val="0"/>
        <color auto="1"/>
      </font>
      <fill>
        <patternFill patternType="none"/>
      </fill>
    </dxf>
    <dxf>
      <font>
        <b val="0"/>
      </font>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228600</xdr:colOff>
      <xdr:row>26</xdr:row>
      <xdr:rowOff>0</xdr:rowOff>
    </xdr:to>
    <xdr:sp macro="" textlink="">
      <xdr:nvSpPr>
        <xdr:cNvPr id="1078" name="201" hidden="1">
          <a:extLst>
            <a:ext uri="{FF2B5EF4-FFF2-40B4-BE49-F238E27FC236}">
              <a16:creationId xmlns:a16="http://schemas.microsoft.com/office/drawing/2014/main" id="{00000000-0008-0000-0000-00003604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077" name="202" hidden="1">
          <a:extLst>
            <a:ext uri="{FF2B5EF4-FFF2-40B4-BE49-F238E27FC236}">
              <a16:creationId xmlns:a16="http://schemas.microsoft.com/office/drawing/2014/main" id="{00000000-0008-0000-0000-000035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27</xdr:row>
      <xdr:rowOff>0</xdr:rowOff>
    </xdr:to>
    <xdr:sp macro="" textlink="">
      <xdr:nvSpPr>
        <xdr:cNvPr id="2" name="201" hidden="1">
          <a:extLst>
            <a:ext uri="{FF2B5EF4-FFF2-40B4-BE49-F238E27FC236}">
              <a16:creationId xmlns:a16="http://schemas.microsoft.com/office/drawing/2014/main" id="{00000000-0008-0000-0000-000002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27</xdr:row>
      <xdr:rowOff>0</xdr:rowOff>
    </xdr:to>
    <xdr:sp macro="" textlink="">
      <xdr:nvSpPr>
        <xdr:cNvPr id="3" name="202" hidden="1">
          <a:extLst>
            <a:ext uri="{FF2B5EF4-FFF2-40B4-BE49-F238E27FC236}">
              <a16:creationId xmlns:a16="http://schemas.microsoft.com/office/drawing/2014/main" id="{00000000-0008-0000-00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27</xdr:row>
      <xdr:rowOff>0</xdr:rowOff>
    </xdr:to>
    <xdr:sp macro="" textlink="">
      <xdr:nvSpPr>
        <xdr:cNvPr id="4" name="201" hidden="1">
          <a:extLst>
            <a:ext uri="{FF2B5EF4-FFF2-40B4-BE49-F238E27FC236}">
              <a16:creationId xmlns:a16="http://schemas.microsoft.com/office/drawing/2014/main" id="{00000000-0008-0000-0000-000004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27</xdr:row>
      <xdr:rowOff>0</xdr:rowOff>
    </xdr:to>
    <xdr:sp macro="" textlink="">
      <xdr:nvSpPr>
        <xdr:cNvPr id="5" name="202" hidden="1">
          <a:extLst>
            <a:ext uri="{FF2B5EF4-FFF2-40B4-BE49-F238E27FC236}">
              <a16:creationId xmlns:a16="http://schemas.microsoft.com/office/drawing/2014/main" id="{00000000-0008-0000-00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084" name="201" hidden="1">
          <a:extLst>
            <a:ext uri="{FF2B5EF4-FFF2-40B4-BE49-F238E27FC236}">
              <a16:creationId xmlns:a16="http://schemas.microsoft.com/office/drawing/2014/main" id="{00000000-0008-0000-0000-00003C04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083" name="202" hidden="1">
          <a:extLst>
            <a:ext uri="{FF2B5EF4-FFF2-40B4-BE49-F238E27FC236}">
              <a16:creationId xmlns:a16="http://schemas.microsoft.com/office/drawing/2014/main" id="{00000000-0008-0000-0000-00003B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21</xdr:row>
      <xdr:rowOff>0</xdr:rowOff>
    </xdr:to>
    <xdr:sp macro="" textlink="">
      <xdr:nvSpPr>
        <xdr:cNvPr id="6" name="201" hidden="1">
          <a:extLst>
            <a:ext uri="{FF2B5EF4-FFF2-40B4-BE49-F238E27FC236}">
              <a16:creationId xmlns:a16="http://schemas.microsoft.com/office/drawing/2014/main" id="{00000000-0008-0000-0000-000006000000}"/>
            </a:ext>
          </a:extLst>
        </xdr:cNvPr>
        <xdr:cNvSpPr>
          <a:spLocks noSelect="1" noChangeArrowheads="1" noChangeShapeType="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21</xdr:row>
      <xdr:rowOff>0</xdr:rowOff>
    </xdr:to>
    <xdr:sp macro="" textlink="">
      <xdr:nvSpPr>
        <xdr:cNvPr id="7" name="202" hidden="1">
          <a:extLst>
            <a:ext uri="{FF2B5EF4-FFF2-40B4-BE49-F238E27FC236}">
              <a16:creationId xmlns:a16="http://schemas.microsoft.com/office/drawing/2014/main" id="{00000000-0008-0000-0000-000007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21</xdr:row>
      <xdr:rowOff>0</xdr:rowOff>
    </xdr:to>
    <xdr:sp macro="" textlink="">
      <xdr:nvSpPr>
        <xdr:cNvPr id="8" name="201" hidden="1">
          <a:extLst>
            <a:ext uri="{FF2B5EF4-FFF2-40B4-BE49-F238E27FC236}">
              <a16:creationId xmlns:a16="http://schemas.microsoft.com/office/drawing/2014/main" id="{00000000-0008-0000-0000-000008000000}"/>
            </a:ext>
          </a:extLst>
        </xdr:cNvPr>
        <xdr:cNvSpPr>
          <a:spLocks noSelect="1" noChangeArrowheads="1" noChangeShapeType="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21</xdr:row>
      <xdr:rowOff>0</xdr:rowOff>
    </xdr:to>
    <xdr:sp macro="" textlink="">
      <xdr:nvSpPr>
        <xdr:cNvPr id="9" name="202" hidden="1">
          <a:extLst>
            <a:ext uri="{FF2B5EF4-FFF2-40B4-BE49-F238E27FC236}">
              <a16:creationId xmlns:a16="http://schemas.microsoft.com/office/drawing/2014/main" id="{00000000-0008-0000-0000-000009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0" name="201" hidden="1">
          <a:extLst>
            <a:ext uri="{FF2B5EF4-FFF2-40B4-BE49-F238E27FC236}">
              <a16:creationId xmlns:a16="http://schemas.microsoft.com/office/drawing/2014/main" id="{00000000-0008-0000-0000-00000A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1" name="202" hidden="1">
          <a:extLst>
            <a:ext uri="{FF2B5EF4-FFF2-40B4-BE49-F238E27FC236}">
              <a16:creationId xmlns:a16="http://schemas.microsoft.com/office/drawing/2014/main" id="{00000000-0008-0000-00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2" name="201" hidden="1">
          <a:extLst>
            <a:ext uri="{FF2B5EF4-FFF2-40B4-BE49-F238E27FC236}">
              <a16:creationId xmlns:a16="http://schemas.microsoft.com/office/drawing/2014/main" id="{00000000-0008-0000-0000-00000C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3" name="202" hidden="1">
          <a:extLst>
            <a:ext uri="{FF2B5EF4-FFF2-40B4-BE49-F238E27FC236}">
              <a16:creationId xmlns:a16="http://schemas.microsoft.com/office/drawing/2014/main" id="{00000000-0008-0000-00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4" name="201" hidden="1">
          <a:extLst>
            <a:ext uri="{FF2B5EF4-FFF2-40B4-BE49-F238E27FC236}">
              <a16:creationId xmlns:a16="http://schemas.microsoft.com/office/drawing/2014/main" id="{00000000-0008-0000-0000-00000E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5" name="202" hidden="1">
          <a:extLst>
            <a:ext uri="{FF2B5EF4-FFF2-40B4-BE49-F238E27FC236}">
              <a16:creationId xmlns:a16="http://schemas.microsoft.com/office/drawing/2014/main" id="{00000000-0008-0000-00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6" name="201" hidden="1">
          <a:extLst>
            <a:ext uri="{FF2B5EF4-FFF2-40B4-BE49-F238E27FC236}">
              <a16:creationId xmlns:a16="http://schemas.microsoft.com/office/drawing/2014/main" id="{00000000-0008-0000-0000-000010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7" name="202" hidden="1">
          <a:extLst>
            <a:ext uri="{FF2B5EF4-FFF2-40B4-BE49-F238E27FC236}">
              <a16:creationId xmlns:a16="http://schemas.microsoft.com/office/drawing/2014/main" id="{00000000-0008-0000-00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8" name="201" hidden="1">
          <a:extLst>
            <a:ext uri="{FF2B5EF4-FFF2-40B4-BE49-F238E27FC236}">
              <a16:creationId xmlns:a16="http://schemas.microsoft.com/office/drawing/2014/main" id="{00000000-0008-0000-0000-000012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9" name="202" hidden="1">
          <a:extLst>
            <a:ext uri="{FF2B5EF4-FFF2-40B4-BE49-F238E27FC236}">
              <a16:creationId xmlns:a16="http://schemas.microsoft.com/office/drawing/2014/main" id="{00000000-0008-0000-00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0" name="201" hidden="1">
          <a:extLst>
            <a:ext uri="{FF2B5EF4-FFF2-40B4-BE49-F238E27FC236}">
              <a16:creationId xmlns:a16="http://schemas.microsoft.com/office/drawing/2014/main" id="{00000000-0008-0000-0000-000014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1" name="202" hidden="1">
          <a:extLst>
            <a:ext uri="{FF2B5EF4-FFF2-40B4-BE49-F238E27FC236}">
              <a16:creationId xmlns:a16="http://schemas.microsoft.com/office/drawing/2014/main" id="{00000000-0008-0000-00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2" name="201" hidden="1">
          <a:extLst>
            <a:ext uri="{FF2B5EF4-FFF2-40B4-BE49-F238E27FC236}">
              <a16:creationId xmlns:a16="http://schemas.microsoft.com/office/drawing/2014/main" id="{00000000-0008-0000-0000-000016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3" name="202" hidden="1">
          <a:extLst>
            <a:ext uri="{FF2B5EF4-FFF2-40B4-BE49-F238E27FC236}">
              <a16:creationId xmlns:a16="http://schemas.microsoft.com/office/drawing/2014/main" id="{00000000-0008-0000-00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4" name="201" hidden="1">
          <a:extLst>
            <a:ext uri="{FF2B5EF4-FFF2-40B4-BE49-F238E27FC236}">
              <a16:creationId xmlns:a16="http://schemas.microsoft.com/office/drawing/2014/main" id="{00000000-0008-0000-0000-000018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5" name="202" hidden="1">
          <a:extLst>
            <a:ext uri="{FF2B5EF4-FFF2-40B4-BE49-F238E27FC236}">
              <a16:creationId xmlns:a16="http://schemas.microsoft.com/office/drawing/2014/main" id="{00000000-0008-0000-00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1085" name="201" hidden="1">
          <a:extLst>
            <a:ext uri="{FF2B5EF4-FFF2-40B4-BE49-F238E27FC236}">
              <a16:creationId xmlns:a16="http://schemas.microsoft.com/office/drawing/2014/main" id="{00000000-0008-0000-0000-00003D04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26" name="202" hidden="1">
          <a:extLst>
            <a:ext uri="{FF2B5EF4-FFF2-40B4-BE49-F238E27FC236}">
              <a16:creationId xmlns:a16="http://schemas.microsoft.com/office/drawing/2014/main" id="{00000000-0008-0000-00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27" name="201" hidden="1">
          <a:extLst>
            <a:ext uri="{FF2B5EF4-FFF2-40B4-BE49-F238E27FC236}">
              <a16:creationId xmlns:a16="http://schemas.microsoft.com/office/drawing/2014/main" id="{00000000-0008-0000-0000-00001B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28" name="202" hidden="1">
          <a:extLst>
            <a:ext uri="{FF2B5EF4-FFF2-40B4-BE49-F238E27FC236}">
              <a16:creationId xmlns:a16="http://schemas.microsoft.com/office/drawing/2014/main" id="{00000000-0008-0000-00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29" name="201" hidden="1">
          <a:extLst>
            <a:ext uri="{FF2B5EF4-FFF2-40B4-BE49-F238E27FC236}">
              <a16:creationId xmlns:a16="http://schemas.microsoft.com/office/drawing/2014/main" id="{00000000-0008-0000-0000-00001D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0" name="202" hidden="1">
          <a:extLst>
            <a:ext uri="{FF2B5EF4-FFF2-40B4-BE49-F238E27FC236}">
              <a16:creationId xmlns:a16="http://schemas.microsoft.com/office/drawing/2014/main" id="{00000000-0008-0000-00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1" name="201" hidden="1">
          <a:extLst>
            <a:ext uri="{FF2B5EF4-FFF2-40B4-BE49-F238E27FC236}">
              <a16:creationId xmlns:a16="http://schemas.microsoft.com/office/drawing/2014/main" id="{00000000-0008-0000-0000-00001F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2" name="202" hidden="1">
          <a:extLst>
            <a:ext uri="{FF2B5EF4-FFF2-40B4-BE49-F238E27FC236}">
              <a16:creationId xmlns:a16="http://schemas.microsoft.com/office/drawing/2014/main" id="{00000000-0008-0000-00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3" name="201" hidden="1">
          <a:extLst>
            <a:ext uri="{FF2B5EF4-FFF2-40B4-BE49-F238E27FC236}">
              <a16:creationId xmlns:a16="http://schemas.microsoft.com/office/drawing/2014/main" id="{00000000-0008-0000-0000-000021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4" name="202" hidden="1">
          <a:extLst>
            <a:ext uri="{FF2B5EF4-FFF2-40B4-BE49-F238E27FC236}">
              <a16:creationId xmlns:a16="http://schemas.microsoft.com/office/drawing/2014/main" id="{00000000-0008-0000-0000-00002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5" name="201" hidden="1">
          <a:extLst>
            <a:ext uri="{FF2B5EF4-FFF2-40B4-BE49-F238E27FC236}">
              <a16:creationId xmlns:a16="http://schemas.microsoft.com/office/drawing/2014/main" id="{00000000-0008-0000-0000-000023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6" name="202" hidden="1">
          <a:extLst>
            <a:ext uri="{FF2B5EF4-FFF2-40B4-BE49-F238E27FC236}">
              <a16:creationId xmlns:a16="http://schemas.microsoft.com/office/drawing/2014/main" id="{00000000-0008-0000-0000-00002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7" name="201" hidden="1">
          <a:extLst>
            <a:ext uri="{FF2B5EF4-FFF2-40B4-BE49-F238E27FC236}">
              <a16:creationId xmlns:a16="http://schemas.microsoft.com/office/drawing/2014/main" id="{00000000-0008-0000-0000-000025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8" name="202" hidden="1">
          <a:extLst>
            <a:ext uri="{FF2B5EF4-FFF2-40B4-BE49-F238E27FC236}">
              <a16:creationId xmlns:a16="http://schemas.microsoft.com/office/drawing/2014/main" id="{00000000-0008-0000-0000-00002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9" name="201" hidden="1">
          <a:extLst>
            <a:ext uri="{FF2B5EF4-FFF2-40B4-BE49-F238E27FC236}">
              <a16:creationId xmlns:a16="http://schemas.microsoft.com/office/drawing/2014/main" id="{00000000-0008-0000-0000-000027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0" name="202" hidden="1">
          <a:extLst>
            <a:ext uri="{FF2B5EF4-FFF2-40B4-BE49-F238E27FC236}">
              <a16:creationId xmlns:a16="http://schemas.microsoft.com/office/drawing/2014/main" id="{00000000-0008-0000-0000-00002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1" name="201" hidden="1">
          <a:extLst>
            <a:ext uri="{FF2B5EF4-FFF2-40B4-BE49-F238E27FC236}">
              <a16:creationId xmlns:a16="http://schemas.microsoft.com/office/drawing/2014/main" id="{00000000-0008-0000-0000-000029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2" name="202" hidden="1">
          <a:extLst>
            <a:ext uri="{FF2B5EF4-FFF2-40B4-BE49-F238E27FC236}">
              <a16:creationId xmlns:a16="http://schemas.microsoft.com/office/drawing/2014/main" id="{00000000-0008-0000-0000-00002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3" name="201" hidden="1">
          <a:extLst>
            <a:ext uri="{FF2B5EF4-FFF2-40B4-BE49-F238E27FC236}">
              <a16:creationId xmlns:a16="http://schemas.microsoft.com/office/drawing/2014/main" id="{00000000-0008-0000-0000-00002B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4" name="202" hidden="1">
          <a:extLst>
            <a:ext uri="{FF2B5EF4-FFF2-40B4-BE49-F238E27FC236}">
              <a16:creationId xmlns:a16="http://schemas.microsoft.com/office/drawing/2014/main" id="{00000000-0008-0000-0000-00002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5" name="201" hidden="1">
          <a:extLst>
            <a:ext uri="{FF2B5EF4-FFF2-40B4-BE49-F238E27FC236}">
              <a16:creationId xmlns:a16="http://schemas.microsoft.com/office/drawing/2014/main" id="{00000000-0008-0000-0000-00002D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6" name="202" hidden="1">
          <a:extLst>
            <a:ext uri="{FF2B5EF4-FFF2-40B4-BE49-F238E27FC236}">
              <a16:creationId xmlns:a16="http://schemas.microsoft.com/office/drawing/2014/main" id="{00000000-0008-0000-0000-00002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7" name="201" hidden="1">
          <a:extLst>
            <a:ext uri="{FF2B5EF4-FFF2-40B4-BE49-F238E27FC236}">
              <a16:creationId xmlns:a16="http://schemas.microsoft.com/office/drawing/2014/main" id="{00000000-0008-0000-0000-00002F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8" name="202" hidden="1">
          <a:extLst>
            <a:ext uri="{FF2B5EF4-FFF2-40B4-BE49-F238E27FC236}">
              <a16:creationId xmlns:a16="http://schemas.microsoft.com/office/drawing/2014/main" id="{00000000-0008-0000-0000-00003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9" name="201" hidden="1">
          <a:extLst>
            <a:ext uri="{FF2B5EF4-FFF2-40B4-BE49-F238E27FC236}">
              <a16:creationId xmlns:a16="http://schemas.microsoft.com/office/drawing/2014/main" id="{00000000-0008-0000-0000-000031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0" name="202" hidden="1">
          <a:extLst>
            <a:ext uri="{FF2B5EF4-FFF2-40B4-BE49-F238E27FC236}">
              <a16:creationId xmlns:a16="http://schemas.microsoft.com/office/drawing/2014/main" id="{00000000-0008-0000-0000-00003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1" name="201" hidden="1">
          <a:extLst>
            <a:ext uri="{FF2B5EF4-FFF2-40B4-BE49-F238E27FC236}">
              <a16:creationId xmlns:a16="http://schemas.microsoft.com/office/drawing/2014/main" id="{00000000-0008-0000-0000-000033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2" name="202" hidden="1">
          <a:extLst>
            <a:ext uri="{FF2B5EF4-FFF2-40B4-BE49-F238E27FC236}">
              <a16:creationId xmlns:a16="http://schemas.microsoft.com/office/drawing/2014/main" id="{00000000-0008-0000-0000-00003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3" name="201" hidden="1">
          <a:extLst>
            <a:ext uri="{FF2B5EF4-FFF2-40B4-BE49-F238E27FC236}">
              <a16:creationId xmlns:a16="http://schemas.microsoft.com/office/drawing/2014/main" id="{00000000-0008-0000-0000-000035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4" name="202" hidden="1">
          <a:extLst>
            <a:ext uri="{FF2B5EF4-FFF2-40B4-BE49-F238E27FC236}">
              <a16:creationId xmlns:a16="http://schemas.microsoft.com/office/drawing/2014/main" id="{00000000-0008-0000-0000-00003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5" name="201" hidden="1">
          <a:extLst>
            <a:ext uri="{FF2B5EF4-FFF2-40B4-BE49-F238E27FC236}">
              <a16:creationId xmlns:a16="http://schemas.microsoft.com/office/drawing/2014/main" id="{00000000-0008-0000-0000-000037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6" name="202" hidden="1">
          <a:extLst>
            <a:ext uri="{FF2B5EF4-FFF2-40B4-BE49-F238E27FC236}">
              <a16:creationId xmlns:a16="http://schemas.microsoft.com/office/drawing/2014/main" id="{00000000-0008-0000-0000-00003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7" name="201" hidden="1">
          <a:extLst>
            <a:ext uri="{FF2B5EF4-FFF2-40B4-BE49-F238E27FC236}">
              <a16:creationId xmlns:a16="http://schemas.microsoft.com/office/drawing/2014/main" id="{00000000-0008-0000-0000-000039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8" name="202" hidden="1">
          <a:extLst>
            <a:ext uri="{FF2B5EF4-FFF2-40B4-BE49-F238E27FC236}">
              <a16:creationId xmlns:a16="http://schemas.microsoft.com/office/drawing/2014/main" id="{00000000-0008-0000-0000-00003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9" name="201" hidden="1">
          <a:extLst>
            <a:ext uri="{FF2B5EF4-FFF2-40B4-BE49-F238E27FC236}">
              <a16:creationId xmlns:a16="http://schemas.microsoft.com/office/drawing/2014/main" id="{00000000-0008-0000-0000-00003B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60" name="202" hidden="1">
          <a:extLst>
            <a:ext uri="{FF2B5EF4-FFF2-40B4-BE49-F238E27FC236}">
              <a16:creationId xmlns:a16="http://schemas.microsoft.com/office/drawing/2014/main" id="{00000000-0008-0000-0000-00003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0" anchor="t" upright="1"/>
            <a:lstStyle/>
            <a:p>
              <a:pPr algn="l" rtl="0">
                <a:defRPr sz="1000"/>
              </a:pPr>
              <a:r>
                <a:rPr lang="zh-CN" altLang="en-US" sz="1100" b="0" i="0" u="none" strike="noStrike" baseline="0">
                  <a:solidFill>
                    <a:srgbClr val="000000"/>
                  </a:solidFill>
                  <a:latin typeface="宋体"/>
                  <a:ea typeface="宋体"/>
                </a:rPr>
                <a:t>显示全分页</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7</xdr:col>
          <xdr:colOff>0</xdr:colOff>
          <xdr:row>1</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0" anchor="t" upright="1"/>
            <a:lstStyle/>
            <a:p>
              <a:pPr algn="l" rtl="0">
                <a:defRPr sz="1000"/>
              </a:pPr>
              <a:r>
                <a:rPr lang="zh-CN" altLang="en-US" sz="1100" b="0" i="0" u="none" strike="noStrike" baseline="0">
                  <a:solidFill>
                    <a:srgbClr val="000000"/>
                  </a:solidFill>
                  <a:latin typeface="宋体"/>
                  <a:ea typeface="宋体"/>
                </a:rPr>
                <a:t>隐藏全分页</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3571875</xdr:colOff>
      <xdr:row>45</xdr:row>
      <xdr:rowOff>152400</xdr:rowOff>
    </xdr:to>
    <xdr:sp macro="" textlink="">
      <xdr:nvSpPr>
        <xdr:cNvPr id="66566" name="202" hidden="1">
          <a:extLst>
            <a:ext uri="{FF2B5EF4-FFF2-40B4-BE49-F238E27FC236}">
              <a16:creationId xmlns:a16="http://schemas.microsoft.com/office/drawing/2014/main" id="{00000000-0008-0000-0100-0000060401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2263140</xdr:colOff>
      <xdr:row>33</xdr:row>
      <xdr:rowOff>121920</xdr:rowOff>
    </xdr:to>
    <xdr:sp macro="" textlink="">
      <xdr:nvSpPr>
        <xdr:cNvPr id="2" name="202" hidden="1">
          <a:extLst>
            <a:ext uri="{FF2B5EF4-FFF2-40B4-BE49-F238E27FC236}">
              <a16:creationId xmlns:a16="http://schemas.microsoft.com/office/drawing/2014/main" id="{00000000-0008-0000-0100-000002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2263140</xdr:colOff>
      <xdr:row>33</xdr:row>
      <xdr:rowOff>121920</xdr:rowOff>
    </xdr:to>
    <xdr:sp macro="" textlink="">
      <xdr:nvSpPr>
        <xdr:cNvPr id="3" name="202" hidden="1">
          <a:extLst>
            <a:ext uri="{FF2B5EF4-FFF2-40B4-BE49-F238E27FC236}">
              <a16:creationId xmlns:a16="http://schemas.microsoft.com/office/drawing/2014/main" id="{00000000-0008-0000-01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4" name="202" hidden="1">
          <a:extLst>
            <a:ext uri="{FF2B5EF4-FFF2-40B4-BE49-F238E27FC236}">
              <a16:creationId xmlns:a16="http://schemas.microsoft.com/office/drawing/2014/main" id="{00000000-0008-0000-01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5" name="202" hidden="1">
          <a:extLst>
            <a:ext uri="{FF2B5EF4-FFF2-40B4-BE49-F238E27FC236}">
              <a16:creationId xmlns:a16="http://schemas.microsoft.com/office/drawing/2014/main" id="{00000000-0008-0000-01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6" name="202" hidden="1">
          <a:extLst>
            <a:ext uri="{FF2B5EF4-FFF2-40B4-BE49-F238E27FC236}">
              <a16:creationId xmlns:a16="http://schemas.microsoft.com/office/drawing/2014/main" id="{00000000-0008-0000-01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7" name="202" hidden="1">
          <a:extLst>
            <a:ext uri="{FF2B5EF4-FFF2-40B4-BE49-F238E27FC236}">
              <a16:creationId xmlns:a16="http://schemas.microsoft.com/office/drawing/2014/main" id="{00000000-0008-0000-01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8" name="202" hidden="1">
          <a:extLst>
            <a:ext uri="{FF2B5EF4-FFF2-40B4-BE49-F238E27FC236}">
              <a16:creationId xmlns:a16="http://schemas.microsoft.com/office/drawing/2014/main" id="{00000000-0008-0000-01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9" name="202" hidden="1">
          <a:extLst>
            <a:ext uri="{FF2B5EF4-FFF2-40B4-BE49-F238E27FC236}">
              <a16:creationId xmlns:a16="http://schemas.microsoft.com/office/drawing/2014/main" id="{00000000-0008-0000-01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0" name="202" hidden="1">
          <a:extLst>
            <a:ext uri="{FF2B5EF4-FFF2-40B4-BE49-F238E27FC236}">
              <a16:creationId xmlns:a16="http://schemas.microsoft.com/office/drawing/2014/main" id="{00000000-0008-0000-01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1" name="202" hidden="1">
          <a:extLst>
            <a:ext uri="{FF2B5EF4-FFF2-40B4-BE49-F238E27FC236}">
              <a16:creationId xmlns:a16="http://schemas.microsoft.com/office/drawing/2014/main" id="{00000000-0008-0000-01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2" name="202" hidden="1">
          <a:extLst>
            <a:ext uri="{FF2B5EF4-FFF2-40B4-BE49-F238E27FC236}">
              <a16:creationId xmlns:a16="http://schemas.microsoft.com/office/drawing/2014/main" id="{00000000-0008-0000-01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3" name="202" hidden="1">
          <a:extLst>
            <a:ext uri="{FF2B5EF4-FFF2-40B4-BE49-F238E27FC236}">
              <a16:creationId xmlns:a16="http://schemas.microsoft.com/office/drawing/2014/main" id="{00000000-0008-0000-01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4" name="202" hidden="1">
          <a:extLst>
            <a:ext uri="{FF2B5EF4-FFF2-40B4-BE49-F238E27FC236}">
              <a16:creationId xmlns:a16="http://schemas.microsoft.com/office/drawing/2014/main" id="{00000000-0008-0000-01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5" name="202" hidden="1">
          <a:extLst>
            <a:ext uri="{FF2B5EF4-FFF2-40B4-BE49-F238E27FC236}">
              <a16:creationId xmlns:a16="http://schemas.microsoft.com/office/drawing/2014/main" id="{00000000-0008-0000-01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6" name="202" hidden="1">
          <a:extLst>
            <a:ext uri="{FF2B5EF4-FFF2-40B4-BE49-F238E27FC236}">
              <a16:creationId xmlns:a16="http://schemas.microsoft.com/office/drawing/2014/main" id="{00000000-0008-0000-01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7" name="202" hidden="1">
          <a:extLst>
            <a:ext uri="{FF2B5EF4-FFF2-40B4-BE49-F238E27FC236}">
              <a16:creationId xmlns:a16="http://schemas.microsoft.com/office/drawing/2014/main" id="{00000000-0008-0000-01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8" name="202" hidden="1">
          <a:extLst>
            <a:ext uri="{FF2B5EF4-FFF2-40B4-BE49-F238E27FC236}">
              <a16:creationId xmlns:a16="http://schemas.microsoft.com/office/drawing/2014/main" id="{00000000-0008-0000-01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9" name="202" hidden="1">
          <a:extLst>
            <a:ext uri="{FF2B5EF4-FFF2-40B4-BE49-F238E27FC236}">
              <a16:creationId xmlns:a16="http://schemas.microsoft.com/office/drawing/2014/main" id="{00000000-0008-0000-01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0" name="202" hidden="1">
          <a:extLst>
            <a:ext uri="{FF2B5EF4-FFF2-40B4-BE49-F238E27FC236}">
              <a16:creationId xmlns:a16="http://schemas.microsoft.com/office/drawing/2014/main" id="{00000000-0008-0000-01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1" name="202" hidden="1">
          <a:extLst>
            <a:ext uri="{FF2B5EF4-FFF2-40B4-BE49-F238E27FC236}">
              <a16:creationId xmlns:a16="http://schemas.microsoft.com/office/drawing/2014/main" id="{00000000-0008-0000-01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2" name="202" hidden="1">
          <a:extLst>
            <a:ext uri="{FF2B5EF4-FFF2-40B4-BE49-F238E27FC236}">
              <a16:creationId xmlns:a16="http://schemas.microsoft.com/office/drawing/2014/main" id="{00000000-0008-0000-01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3" name="202" hidden="1">
          <a:extLst>
            <a:ext uri="{FF2B5EF4-FFF2-40B4-BE49-F238E27FC236}">
              <a16:creationId xmlns:a16="http://schemas.microsoft.com/office/drawing/2014/main" id="{00000000-0008-0000-01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4" name="202" hidden="1">
          <a:extLst>
            <a:ext uri="{FF2B5EF4-FFF2-40B4-BE49-F238E27FC236}">
              <a16:creationId xmlns:a16="http://schemas.microsoft.com/office/drawing/2014/main" id="{00000000-0008-0000-01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5" name="202" hidden="1">
          <a:extLst>
            <a:ext uri="{FF2B5EF4-FFF2-40B4-BE49-F238E27FC236}">
              <a16:creationId xmlns:a16="http://schemas.microsoft.com/office/drawing/2014/main" id="{00000000-0008-0000-01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6" name="202" hidden="1">
          <a:extLst>
            <a:ext uri="{FF2B5EF4-FFF2-40B4-BE49-F238E27FC236}">
              <a16:creationId xmlns:a16="http://schemas.microsoft.com/office/drawing/2014/main" id="{00000000-0008-0000-01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7" name="202" hidden="1">
          <a:extLst>
            <a:ext uri="{FF2B5EF4-FFF2-40B4-BE49-F238E27FC236}">
              <a16:creationId xmlns:a16="http://schemas.microsoft.com/office/drawing/2014/main" id="{00000000-0008-0000-01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8" name="202" hidden="1">
          <a:extLst>
            <a:ext uri="{FF2B5EF4-FFF2-40B4-BE49-F238E27FC236}">
              <a16:creationId xmlns:a16="http://schemas.microsoft.com/office/drawing/2014/main" id="{00000000-0008-0000-01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9" name="202" hidden="1">
          <a:extLst>
            <a:ext uri="{FF2B5EF4-FFF2-40B4-BE49-F238E27FC236}">
              <a16:creationId xmlns:a16="http://schemas.microsoft.com/office/drawing/2014/main" id="{00000000-0008-0000-01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1590675</xdr:colOff>
      <xdr:row>53</xdr:row>
      <xdr:rowOff>38100</xdr:rowOff>
    </xdr:to>
    <xdr:sp macro="" textlink="">
      <xdr:nvSpPr>
        <xdr:cNvPr id="67592" name="202" hidden="1">
          <a:extLst>
            <a:ext uri="{FF2B5EF4-FFF2-40B4-BE49-F238E27FC236}">
              <a16:creationId xmlns:a16="http://schemas.microsoft.com/office/drawing/2014/main" id="{00000000-0008-0000-0200-0000080801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480060</xdr:colOff>
      <xdr:row>39</xdr:row>
      <xdr:rowOff>99060</xdr:rowOff>
    </xdr:to>
    <xdr:sp macro="" textlink="">
      <xdr:nvSpPr>
        <xdr:cNvPr id="2" name="202" hidden="1">
          <a:extLst>
            <a:ext uri="{FF2B5EF4-FFF2-40B4-BE49-F238E27FC236}">
              <a16:creationId xmlns:a16="http://schemas.microsoft.com/office/drawing/2014/main" id="{00000000-0008-0000-0200-000002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480060</xdr:colOff>
      <xdr:row>39</xdr:row>
      <xdr:rowOff>99060</xdr:rowOff>
    </xdr:to>
    <xdr:sp macro="" textlink="">
      <xdr:nvSpPr>
        <xdr:cNvPr id="3" name="202" hidden="1">
          <a:extLst>
            <a:ext uri="{FF2B5EF4-FFF2-40B4-BE49-F238E27FC236}">
              <a16:creationId xmlns:a16="http://schemas.microsoft.com/office/drawing/2014/main" id="{00000000-0008-0000-02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4" name="202" hidden="1">
          <a:extLst>
            <a:ext uri="{FF2B5EF4-FFF2-40B4-BE49-F238E27FC236}">
              <a16:creationId xmlns:a16="http://schemas.microsoft.com/office/drawing/2014/main" id="{00000000-0008-0000-02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5" name="202" hidden="1">
          <a:extLst>
            <a:ext uri="{FF2B5EF4-FFF2-40B4-BE49-F238E27FC236}">
              <a16:creationId xmlns:a16="http://schemas.microsoft.com/office/drawing/2014/main" id="{00000000-0008-0000-02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6" name="202" hidden="1">
          <a:extLst>
            <a:ext uri="{FF2B5EF4-FFF2-40B4-BE49-F238E27FC236}">
              <a16:creationId xmlns:a16="http://schemas.microsoft.com/office/drawing/2014/main" id="{00000000-0008-0000-02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7" name="202" hidden="1">
          <a:extLst>
            <a:ext uri="{FF2B5EF4-FFF2-40B4-BE49-F238E27FC236}">
              <a16:creationId xmlns:a16="http://schemas.microsoft.com/office/drawing/2014/main" id="{00000000-0008-0000-02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8" name="202" hidden="1">
          <a:extLst>
            <a:ext uri="{FF2B5EF4-FFF2-40B4-BE49-F238E27FC236}">
              <a16:creationId xmlns:a16="http://schemas.microsoft.com/office/drawing/2014/main" id="{00000000-0008-0000-02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9" name="202" hidden="1">
          <a:extLst>
            <a:ext uri="{FF2B5EF4-FFF2-40B4-BE49-F238E27FC236}">
              <a16:creationId xmlns:a16="http://schemas.microsoft.com/office/drawing/2014/main" id="{00000000-0008-0000-02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0" name="202" hidden="1">
          <a:extLst>
            <a:ext uri="{FF2B5EF4-FFF2-40B4-BE49-F238E27FC236}">
              <a16:creationId xmlns:a16="http://schemas.microsoft.com/office/drawing/2014/main" id="{00000000-0008-0000-02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1" name="202" hidden="1">
          <a:extLst>
            <a:ext uri="{FF2B5EF4-FFF2-40B4-BE49-F238E27FC236}">
              <a16:creationId xmlns:a16="http://schemas.microsoft.com/office/drawing/2014/main" id="{00000000-0008-0000-02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2" name="202" hidden="1">
          <a:extLst>
            <a:ext uri="{FF2B5EF4-FFF2-40B4-BE49-F238E27FC236}">
              <a16:creationId xmlns:a16="http://schemas.microsoft.com/office/drawing/2014/main" id="{00000000-0008-0000-02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3" name="202" hidden="1">
          <a:extLst>
            <a:ext uri="{FF2B5EF4-FFF2-40B4-BE49-F238E27FC236}">
              <a16:creationId xmlns:a16="http://schemas.microsoft.com/office/drawing/2014/main" id="{00000000-0008-0000-02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4" name="202" hidden="1">
          <a:extLst>
            <a:ext uri="{FF2B5EF4-FFF2-40B4-BE49-F238E27FC236}">
              <a16:creationId xmlns:a16="http://schemas.microsoft.com/office/drawing/2014/main" id="{00000000-0008-0000-02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5" name="202" hidden="1">
          <a:extLst>
            <a:ext uri="{FF2B5EF4-FFF2-40B4-BE49-F238E27FC236}">
              <a16:creationId xmlns:a16="http://schemas.microsoft.com/office/drawing/2014/main" id="{00000000-0008-0000-02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6" name="202" hidden="1">
          <a:extLst>
            <a:ext uri="{FF2B5EF4-FFF2-40B4-BE49-F238E27FC236}">
              <a16:creationId xmlns:a16="http://schemas.microsoft.com/office/drawing/2014/main" id="{00000000-0008-0000-02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7" name="202" hidden="1">
          <a:extLst>
            <a:ext uri="{FF2B5EF4-FFF2-40B4-BE49-F238E27FC236}">
              <a16:creationId xmlns:a16="http://schemas.microsoft.com/office/drawing/2014/main" id="{00000000-0008-0000-02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8" name="202" hidden="1">
          <a:extLst>
            <a:ext uri="{FF2B5EF4-FFF2-40B4-BE49-F238E27FC236}">
              <a16:creationId xmlns:a16="http://schemas.microsoft.com/office/drawing/2014/main" id="{00000000-0008-0000-02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9" name="202" hidden="1">
          <a:extLst>
            <a:ext uri="{FF2B5EF4-FFF2-40B4-BE49-F238E27FC236}">
              <a16:creationId xmlns:a16="http://schemas.microsoft.com/office/drawing/2014/main" id="{00000000-0008-0000-02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0" name="202" hidden="1">
          <a:extLst>
            <a:ext uri="{FF2B5EF4-FFF2-40B4-BE49-F238E27FC236}">
              <a16:creationId xmlns:a16="http://schemas.microsoft.com/office/drawing/2014/main" id="{00000000-0008-0000-02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1" name="202" hidden="1">
          <a:extLst>
            <a:ext uri="{FF2B5EF4-FFF2-40B4-BE49-F238E27FC236}">
              <a16:creationId xmlns:a16="http://schemas.microsoft.com/office/drawing/2014/main" id="{00000000-0008-0000-02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2" name="202" hidden="1">
          <a:extLst>
            <a:ext uri="{FF2B5EF4-FFF2-40B4-BE49-F238E27FC236}">
              <a16:creationId xmlns:a16="http://schemas.microsoft.com/office/drawing/2014/main" id="{00000000-0008-0000-02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3" name="202" hidden="1">
          <a:extLst>
            <a:ext uri="{FF2B5EF4-FFF2-40B4-BE49-F238E27FC236}">
              <a16:creationId xmlns:a16="http://schemas.microsoft.com/office/drawing/2014/main" id="{00000000-0008-0000-02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4" name="202" hidden="1">
          <a:extLst>
            <a:ext uri="{FF2B5EF4-FFF2-40B4-BE49-F238E27FC236}">
              <a16:creationId xmlns:a16="http://schemas.microsoft.com/office/drawing/2014/main" id="{00000000-0008-0000-02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5" name="202" hidden="1">
          <a:extLst>
            <a:ext uri="{FF2B5EF4-FFF2-40B4-BE49-F238E27FC236}">
              <a16:creationId xmlns:a16="http://schemas.microsoft.com/office/drawing/2014/main" id="{00000000-0008-0000-02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6" name="202" hidden="1">
          <a:extLst>
            <a:ext uri="{FF2B5EF4-FFF2-40B4-BE49-F238E27FC236}">
              <a16:creationId xmlns:a16="http://schemas.microsoft.com/office/drawing/2014/main" id="{00000000-0008-0000-02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7" name="202" hidden="1">
          <a:extLst>
            <a:ext uri="{FF2B5EF4-FFF2-40B4-BE49-F238E27FC236}">
              <a16:creationId xmlns:a16="http://schemas.microsoft.com/office/drawing/2014/main" id="{00000000-0008-0000-02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8" name="202" hidden="1">
          <a:extLst>
            <a:ext uri="{FF2B5EF4-FFF2-40B4-BE49-F238E27FC236}">
              <a16:creationId xmlns:a16="http://schemas.microsoft.com/office/drawing/2014/main" id="{00000000-0008-0000-02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9" name="202" hidden="1">
          <a:extLst>
            <a:ext uri="{FF2B5EF4-FFF2-40B4-BE49-F238E27FC236}">
              <a16:creationId xmlns:a16="http://schemas.microsoft.com/office/drawing/2014/main" id="{00000000-0008-0000-02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161925</xdr:colOff>
      <xdr:row>51</xdr:row>
      <xdr:rowOff>85725</xdr:rowOff>
    </xdr:to>
    <xdr:sp macro="" textlink="">
      <xdr:nvSpPr>
        <xdr:cNvPr id="26635" name="202" hidden="1">
          <a:extLst>
            <a:ext uri="{FF2B5EF4-FFF2-40B4-BE49-F238E27FC236}">
              <a16:creationId xmlns:a16="http://schemas.microsoft.com/office/drawing/2014/main" id="{00000000-0008-0000-0300-00000B68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51</xdr:row>
      <xdr:rowOff>85725</xdr:rowOff>
    </xdr:to>
    <xdr:sp macro="" textlink="">
      <xdr:nvSpPr>
        <xdr:cNvPr id="2" name="202" hidden="1">
          <a:extLst>
            <a:ext uri="{FF2B5EF4-FFF2-40B4-BE49-F238E27FC236}">
              <a16:creationId xmlns:a16="http://schemas.microsoft.com/office/drawing/2014/main" id="{00000000-0008-0000-03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51</xdr:row>
      <xdr:rowOff>85725</xdr:rowOff>
    </xdr:to>
    <xdr:sp macro="" textlink="">
      <xdr:nvSpPr>
        <xdr:cNvPr id="3" name="202" hidden="1">
          <a:extLst>
            <a:ext uri="{FF2B5EF4-FFF2-40B4-BE49-F238E27FC236}">
              <a16:creationId xmlns:a16="http://schemas.microsoft.com/office/drawing/2014/main" id="{00000000-0008-0000-03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4" name="202" hidden="1">
          <a:extLst>
            <a:ext uri="{FF2B5EF4-FFF2-40B4-BE49-F238E27FC236}">
              <a16:creationId xmlns:a16="http://schemas.microsoft.com/office/drawing/2014/main" id="{00000000-0008-0000-03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434340</xdr:colOff>
      <xdr:row>38</xdr:row>
      <xdr:rowOff>121920</xdr:rowOff>
    </xdr:to>
    <xdr:sp macro="" textlink="">
      <xdr:nvSpPr>
        <xdr:cNvPr id="5" name="202" hidden="1">
          <a:extLst>
            <a:ext uri="{FF2B5EF4-FFF2-40B4-BE49-F238E27FC236}">
              <a16:creationId xmlns:a16="http://schemas.microsoft.com/office/drawing/2014/main" id="{00000000-0008-0000-03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434340</xdr:colOff>
      <xdr:row>38</xdr:row>
      <xdr:rowOff>121920</xdr:rowOff>
    </xdr:to>
    <xdr:sp macro="" textlink="">
      <xdr:nvSpPr>
        <xdr:cNvPr id="6" name="202" hidden="1">
          <a:extLst>
            <a:ext uri="{FF2B5EF4-FFF2-40B4-BE49-F238E27FC236}">
              <a16:creationId xmlns:a16="http://schemas.microsoft.com/office/drawing/2014/main" id="{00000000-0008-0000-03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7" name="202" hidden="1">
          <a:extLst>
            <a:ext uri="{FF2B5EF4-FFF2-40B4-BE49-F238E27FC236}">
              <a16:creationId xmlns:a16="http://schemas.microsoft.com/office/drawing/2014/main" id="{00000000-0008-0000-03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8" name="202" hidden="1">
          <a:extLst>
            <a:ext uri="{FF2B5EF4-FFF2-40B4-BE49-F238E27FC236}">
              <a16:creationId xmlns:a16="http://schemas.microsoft.com/office/drawing/2014/main" id="{00000000-0008-0000-03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9" name="202" hidden="1">
          <a:extLst>
            <a:ext uri="{FF2B5EF4-FFF2-40B4-BE49-F238E27FC236}">
              <a16:creationId xmlns:a16="http://schemas.microsoft.com/office/drawing/2014/main" id="{00000000-0008-0000-03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0" name="202" hidden="1">
          <a:extLst>
            <a:ext uri="{FF2B5EF4-FFF2-40B4-BE49-F238E27FC236}">
              <a16:creationId xmlns:a16="http://schemas.microsoft.com/office/drawing/2014/main" id="{00000000-0008-0000-03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1" name="202" hidden="1">
          <a:extLst>
            <a:ext uri="{FF2B5EF4-FFF2-40B4-BE49-F238E27FC236}">
              <a16:creationId xmlns:a16="http://schemas.microsoft.com/office/drawing/2014/main" id="{00000000-0008-0000-03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2" name="202" hidden="1">
          <a:extLst>
            <a:ext uri="{FF2B5EF4-FFF2-40B4-BE49-F238E27FC236}">
              <a16:creationId xmlns:a16="http://schemas.microsoft.com/office/drawing/2014/main" id="{00000000-0008-0000-03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3" name="202" hidden="1">
          <a:extLst>
            <a:ext uri="{FF2B5EF4-FFF2-40B4-BE49-F238E27FC236}">
              <a16:creationId xmlns:a16="http://schemas.microsoft.com/office/drawing/2014/main" id="{00000000-0008-0000-03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4" name="202" hidden="1">
          <a:extLst>
            <a:ext uri="{FF2B5EF4-FFF2-40B4-BE49-F238E27FC236}">
              <a16:creationId xmlns:a16="http://schemas.microsoft.com/office/drawing/2014/main" id="{00000000-0008-0000-03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5" name="202" hidden="1">
          <a:extLst>
            <a:ext uri="{FF2B5EF4-FFF2-40B4-BE49-F238E27FC236}">
              <a16:creationId xmlns:a16="http://schemas.microsoft.com/office/drawing/2014/main" id="{00000000-0008-0000-03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6" name="202" hidden="1">
          <a:extLst>
            <a:ext uri="{FF2B5EF4-FFF2-40B4-BE49-F238E27FC236}">
              <a16:creationId xmlns:a16="http://schemas.microsoft.com/office/drawing/2014/main" id="{00000000-0008-0000-03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7" name="202" hidden="1">
          <a:extLst>
            <a:ext uri="{FF2B5EF4-FFF2-40B4-BE49-F238E27FC236}">
              <a16:creationId xmlns:a16="http://schemas.microsoft.com/office/drawing/2014/main" id="{00000000-0008-0000-03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8" name="202" hidden="1">
          <a:extLst>
            <a:ext uri="{FF2B5EF4-FFF2-40B4-BE49-F238E27FC236}">
              <a16:creationId xmlns:a16="http://schemas.microsoft.com/office/drawing/2014/main" id="{00000000-0008-0000-03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9" name="202" hidden="1">
          <a:extLst>
            <a:ext uri="{FF2B5EF4-FFF2-40B4-BE49-F238E27FC236}">
              <a16:creationId xmlns:a16="http://schemas.microsoft.com/office/drawing/2014/main" id="{00000000-0008-0000-03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0" name="202" hidden="1">
          <a:extLst>
            <a:ext uri="{FF2B5EF4-FFF2-40B4-BE49-F238E27FC236}">
              <a16:creationId xmlns:a16="http://schemas.microsoft.com/office/drawing/2014/main" id="{00000000-0008-0000-03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1" name="202" hidden="1">
          <a:extLst>
            <a:ext uri="{FF2B5EF4-FFF2-40B4-BE49-F238E27FC236}">
              <a16:creationId xmlns:a16="http://schemas.microsoft.com/office/drawing/2014/main" id="{00000000-0008-0000-03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2" name="202" hidden="1">
          <a:extLst>
            <a:ext uri="{FF2B5EF4-FFF2-40B4-BE49-F238E27FC236}">
              <a16:creationId xmlns:a16="http://schemas.microsoft.com/office/drawing/2014/main" id="{00000000-0008-0000-03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3" name="202" hidden="1">
          <a:extLst>
            <a:ext uri="{FF2B5EF4-FFF2-40B4-BE49-F238E27FC236}">
              <a16:creationId xmlns:a16="http://schemas.microsoft.com/office/drawing/2014/main" id="{00000000-0008-0000-03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4" name="202" hidden="1">
          <a:extLst>
            <a:ext uri="{FF2B5EF4-FFF2-40B4-BE49-F238E27FC236}">
              <a16:creationId xmlns:a16="http://schemas.microsoft.com/office/drawing/2014/main" id="{00000000-0008-0000-03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5" name="202" hidden="1">
          <a:extLst>
            <a:ext uri="{FF2B5EF4-FFF2-40B4-BE49-F238E27FC236}">
              <a16:creationId xmlns:a16="http://schemas.microsoft.com/office/drawing/2014/main" id="{00000000-0008-0000-03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6" name="202" hidden="1">
          <a:extLst>
            <a:ext uri="{FF2B5EF4-FFF2-40B4-BE49-F238E27FC236}">
              <a16:creationId xmlns:a16="http://schemas.microsoft.com/office/drawing/2014/main" id="{00000000-0008-0000-03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7" name="202" hidden="1">
          <a:extLst>
            <a:ext uri="{FF2B5EF4-FFF2-40B4-BE49-F238E27FC236}">
              <a16:creationId xmlns:a16="http://schemas.microsoft.com/office/drawing/2014/main" id="{00000000-0008-0000-03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8" name="202" hidden="1">
          <a:extLst>
            <a:ext uri="{FF2B5EF4-FFF2-40B4-BE49-F238E27FC236}">
              <a16:creationId xmlns:a16="http://schemas.microsoft.com/office/drawing/2014/main" id="{00000000-0008-0000-03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9" name="202" hidden="1">
          <a:extLst>
            <a:ext uri="{FF2B5EF4-FFF2-40B4-BE49-F238E27FC236}">
              <a16:creationId xmlns:a16="http://schemas.microsoft.com/office/drawing/2014/main" id="{00000000-0008-0000-03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30" name="202" hidden="1">
          <a:extLst>
            <a:ext uri="{FF2B5EF4-FFF2-40B4-BE49-F238E27FC236}">
              <a16:creationId xmlns:a16="http://schemas.microsoft.com/office/drawing/2014/main" id="{00000000-0008-0000-03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31" name="202" hidden="1">
          <a:extLst>
            <a:ext uri="{FF2B5EF4-FFF2-40B4-BE49-F238E27FC236}">
              <a16:creationId xmlns:a16="http://schemas.microsoft.com/office/drawing/2014/main" id="{00000000-0008-0000-03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32" name="202" hidden="1">
          <a:extLst>
            <a:ext uri="{FF2B5EF4-FFF2-40B4-BE49-F238E27FC236}">
              <a16:creationId xmlns:a16="http://schemas.microsoft.com/office/drawing/2014/main" id="{00000000-0008-0000-03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47</xdr:row>
      <xdr:rowOff>95250</xdr:rowOff>
    </xdr:to>
    <xdr:sp macro="" textlink="">
      <xdr:nvSpPr>
        <xdr:cNvPr id="45069" name="202" hidden="1">
          <a:extLst>
            <a:ext uri="{FF2B5EF4-FFF2-40B4-BE49-F238E27FC236}">
              <a16:creationId xmlns:a16="http://schemas.microsoft.com/office/drawing/2014/main" id="{00000000-0008-0000-0400-00000DB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411480</xdr:colOff>
      <xdr:row>35</xdr:row>
      <xdr:rowOff>121920</xdr:rowOff>
    </xdr:to>
    <xdr:sp macro="" textlink="">
      <xdr:nvSpPr>
        <xdr:cNvPr id="2" name="202" hidden="1">
          <a:extLst>
            <a:ext uri="{FF2B5EF4-FFF2-40B4-BE49-F238E27FC236}">
              <a16:creationId xmlns:a16="http://schemas.microsoft.com/office/drawing/2014/main" id="{00000000-0008-0000-0400-000002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411480</xdr:colOff>
      <xdr:row>35</xdr:row>
      <xdr:rowOff>121920</xdr:rowOff>
    </xdr:to>
    <xdr:sp macro="" textlink="">
      <xdr:nvSpPr>
        <xdr:cNvPr id="3" name="202" hidden="1">
          <a:extLst>
            <a:ext uri="{FF2B5EF4-FFF2-40B4-BE49-F238E27FC236}">
              <a16:creationId xmlns:a16="http://schemas.microsoft.com/office/drawing/2014/main" id="{00000000-0008-0000-04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4" name="202" hidden="1">
          <a:extLst>
            <a:ext uri="{FF2B5EF4-FFF2-40B4-BE49-F238E27FC236}">
              <a16:creationId xmlns:a16="http://schemas.microsoft.com/office/drawing/2014/main" id="{00000000-0008-0000-04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5" name="202" hidden="1">
          <a:extLst>
            <a:ext uri="{FF2B5EF4-FFF2-40B4-BE49-F238E27FC236}">
              <a16:creationId xmlns:a16="http://schemas.microsoft.com/office/drawing/2014/main" id="{00000000-0008-0000-04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6" name="202" hidden="1">
          <a:extLst>
            <a:ext uri="{FF2B5EF4-FFF2-40B4-BE49-F238E27FC236}">
              <a16:creationId xmlns:a16="http://schemas.microsoft.com/office/drawing/2014/main" id="{00000000-0008-0000-04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7" name="202" hidden="1">
          <a:extLst>
            <a:ext uri="{FF2B5EF4-FFF2-40B4-BE49-F238E27FC236}">
              <a16:creationId xmlns:a16="http://schemas.microsoft.com/office/drawing/2014/main" id="{00000000-0008-0000-04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8" name="202" hidden="1">
          <a:extLst>
            <a:ext uri="{FF2B5EF4-FFF2-40B4-BE49-F238E27FC236}">
              <a16:creationId xmlns:a16="http://schemas.microsoft.com/office/drawing/2014/main" id="{00000000-0008-0000-04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9" name="202" hidden="1">
          <a:extLst>
            <a:ext uri="{FF2B5EF4-FFF2-40B4-BE49-F238E27FC236}">
              <a16:creationId xmlns:a16="http://schemas.microsoft.com/office/drawing/2014/main" id="{00000000-0008-0000-04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0" name="202" hidden="1">
          <a:extLst>
            <a:ext uri="{FF2B5EF4-FFF2-40B4-BE49-F238E27FC236}">
              <a16:creationId xmlns:a16="http://schemas.microsoft.com/office/drawing/2014/main" id="{00000000-0008-0000-04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1" name="202" hidden="1">
          <a:extLst>
            <a:ext uri="{FF2B5EF4-FFF2-40B4-BE49-F238E27FC236}">
              <a16:creationId xmlns:a16="http://schemas.microsoft.com/office/drawing/2014/main" id="{00000000-0008-0000-04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2" name="202" hidden="1">
          <a:extLst>
            <a:ext uri="{FF2B5EF4-FFF2-40B4-BE49-F238E27FC236}">
              <a16:creationId xmlns:a16="http://schemas.microsoft.com/office/drawing/2014/main" id="{00000000-0008-0000-04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3" name="202" hidden="1">
          <a:extLst>
            <a:ext uri="{FF2B5EF4-FFF2-40B4-BE49-F238E27FC236}">
              <a16:creationId xmlns:a16="http://schemas.microsoft.com/office/drawing/2014/main" id="{00000000-0008-0000-04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4" name="202" hidden="1">
          <a:extLst>
            <a:ext uri="{FF2B5EF4-FFF2-40B4-BE49-F238E27FC236}">
              <a16:creationId xmlns:a16="http://schemas.microsoft.com/office/drawing/2014/main" id="{00000000-0008-0000-04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5" name="202" hidden="1">
          <a:extLst>
            <a:ext uri="{FF2B5EF4-FFF2-40B4-BE49-F238E27FC236}">
              <a16:creationId xmlns:a16="http://schemas.microsoft.com/office/drawing/2014/main" id="{00000000-0008-0000-04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6" name="202" hidden="1">
          <a:extLst>
            <a:ext uri="{FF2B5EF4-FFF2-40B4-BE49-F238E27FC236}">
              <a16:creationId xmlns:a16="http://schemas.microsoft.com/office/drawing/2014/main" id="{00000000-0008-0000-04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7" name="202" hidden="1">
          <a:extLst>
            <a:ext uri="{FF2B5EF4-FFF2-40B4-BE49-F238E27FC236}">
              <a16:creationId xmlns:a16="http://schemas.microsoft.com/office/drawing/2014/main" id="{00000000-0008-0000-04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8" name="202" hidden="1">
          <a:extLst>
            <a:ext uri="{FF2B5EF4-FFF2-40B4-BE49-F238E27FC236}">
              <a16:creationId xmlns:a16="http://schemas.microsoft.com/office/drawing/2014/main" id="{00000000-0008-0000-04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9" name="202" hidden="1">
          <a:extLst>
            <a:ext uri="{FF2B5EF4-FFF2-40B4-BE49-F238E27FC236}">
              <a16:creationId xmlns:a16="http://schemas.microsoft.com/office/drawing/2014/main" id="{00000000-0008-0000-04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0" name="202" hidden="1">
          <a:extLst>
            <a:ext uri="{FF2B5EF4-FFF2-40B4-BE49-F238E27FC236}">
              <a16:creationId xmlns:a16="http://schemas.microsoft.com/office/drawing/2014/main" id="{00000000-0008-0000-04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1" name="202" hidden="1">
          <a:extLst>
            <a:ext uri="{FF2B5EF4-FFF2-40B4-BE49-F238E27FC236}">
              <a16:creationId xmlns:a16="http://schemas.microsoft.com/office/drawing/2014/main" id="{00000000-0008-0000-04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2" name="202" hidden="1">
          <a:extLst>
            <a:ext uri="{FF2B5EF4-FFF2-40B4-BE49-F238E27FC236}">
              <a16:creationId xmlns:a16="http://schemas.microsoft.com/office/drawing/2014/main" id="{00000000-0008-0000-04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3" name="202" hidden="1">
          <a:extLst>
            <a:ext uri="{FF2B5EF4-FFF2-40B4-BE49-F238E27FC236}">
              <a16:creationId xmlns:a16="http://schemas.microsoft.com/office/drawing/2014/main" id="{00000000-0008-0000-04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4" name="202" hidden="1">
          <a:extLst>
            <a:ext uri="{FF2B5EF4-FFF2-40B4-BE49-F238E27FC236}">
              <a16:creationId xmlns:a16="http://schemas.microsoft.com/office/drawing/2014/main" id="{00000000-0008-0000-04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5" name="202" hidden="1">
          <a:extLst>
            <a:ext uri="{FF2B5EF4-FFF2-40B4-BE49-F238E27FC236}">
              <a16:creationId xmlns:a16="http://schemas.microsoft.com/office/drawing/2014/main" id="{00000000-0008-0000-04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6" name="202" hidden="1">
          <a:extLst>
            <a:ext uri="{FF2B5EF4-FFF2-40B4-BE49-F238E27FC236}">
              <a16:creationId xmlns:a16="http://schemas.microsoft.com/office/drawing/2014/main" id="{00000000-0008-0000-04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7" name="202" hidden="1">
          <a:extLst>
            <a:ext uri="{FF2B5EF4-FFF2-40B4-BE49-F238E27FC236}">
              <a16:creationId xmlns:a16="http://schemas.microsoft.com/office/drawing/2014/main" id="{00000000-0008-0000-04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8" name="202" hidden="1">
          <a:extLst>
            <a:ext uri="{FF2B5EF4-FFF2-40B4-BE49-F238E27FC236}">
              <a16:creationId xmlns:a16="http://schemas.microsoft.com/office/drawing/2014/main" id="{00000000-0008-0000-04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9" name="202" hidden="1">
          <a:extLst>
            <a:ext uri="{FF2B5EF4-FFF2-40B4-BE49-F238E27FC236}">
              <a16:creationId xmlns:a16="http://schemas.microsoft.com/office/drawing/2014/main" id="{00000000-0008-0000-04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3571875</xdr:colOff>
      <xdr:row>27</xdr:row>
      <xdr:rowOff>38100</xdr:rowOff>
    </xdr:to>
    <xdr:sp macro="" textlink="">
      <xdr:nvSpPr>
        <xdr:cNvPr id="11287" name="202" hidden="1">
          <a:extLst>
            <a:ext uri="{FF2B5EF4-FFF2-40B4-BE49-F238E27FC236}">
              <a16:creationId xmlns:a16="http://schemas.microsoft.com/office/drawing/2014/main" id="{00000000-0008-0000-0500-0000172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3571875</xdr:colOff>
      <xdr:row>31</xdr:row>
      <xdr:rowOff>38100</xdr:rowOff>
    </xdr:to>
    <xdr:sp macro="" textlink="">
      <xdr:nvSpPr>
        <xdr:cNvPr id="11284" name="202" hidden="1">
          <a:extLst>
            <a:ext uri="{FF2B5EF4-FFF2-40B4-BE49-F238E27FC236}">
              <a16:creationId xmlns:a16="http://schemas.microsoft.com/office/drawing/2014/main" id="{00000000-0008-0000-0500-0000142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3571875</xdr:colOff>
      <xdr:row>31</xdr:row>
      <xdr:rowOff>38100</xdr:rowOff>
    </xdr:to>
    <xdr:sp macro="" textlink="">
      <xdr:nvSpPr>
        <xdr:cNvPr id="2" name="202" hidden="1">
          <a:extLst>
            <a:ext uri="{FF2B5EF4-FFF2-40B4-BE49-F238E27FC236}">
              <a16:creationId xmlns:a16="http://schemas.microsoft.com/office/drawing/2014/main" id="{00000000-0008-0000-05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323850</xdr:colOff>
      <xdr:row>28</xdr:row>
      <xdr:rowOff>114300</xdr:rowOff>
    </xdr:to>
    <xdr:sp macro="" textlink="">
      <xdr:nvSpPr>
        <xdr:cNvPr id="11289" name="202" hidden="1">
          <a:extLst>
            <a:ext uri="{FF2B5EF4-FFF2-40B4-BE49-F238E27FC236}">
              <a16:creationId xmlns:a16="http://schemas.microsoft.com/office/drawing/2014/main" id="{00000000-0008-0000-0500-0000192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449580</xdr:colOff>
      <xdr:row>33</xdr:row>
      <xdr:rowOff>167640</xdr:rowOff>
    </xdr:to>
    <xdr:sp macro="" textlink="">
      <xdr:nvSpPr>
        <xdr:cNvPr id="11293" name="202" hidden="1">
          <a:extLst>
            <a:ext uri="{FF2B5EF4-FFF2-40B4-BE49-F238E27FC236}">
              <a16:creationId xmlns:a16="http://schemas.microsoft.com/office/drawing/2014/main" id="{00000000-0008-0000-0500-00001D2C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449580</xdr:colOff>
      <xdr:row>33</xdr:row>
      <xdr:rowOff>167640</xdr:rowOff>
    </xdr:to>
    <xdr:sp macro="" textlink="">
      <xdr:nvSpPr>
        <xdr:cNvPr id="3" name="202" hidden="1">
          <a:extLst>
            <a:ext uri="{FF2B5EF4-FFF2-40B4-BE49-F238E27FC236}">
              <a16:creationId xmlns:a16="http://schemas.microsoft.com/office/drawing/2014/main" id="{00000000-0008-0000-05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4" name="202" hidden="1">
          <a:extLst>
            <a:ext uri="{FF2B5EF4-FFF2-40B4-BE49-F238E27FC236}">
              <a16:creationId xmlns:a16="http://schemas.microsoft.com/office/drawing/2014/main" id="{00000000-0008-0000-05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5" name="202" hidden="1">
          <a:extLst>
            <a:ext uri="{FF2B5EF4-FFF2-40B4-BE49-F238E27FC236}">
              <a16:creationId xmlns:a16="http://schemas.microsoft.com/office/drawing/2014/main" id="{00000000-0008-0000-05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6" name="202" hidden="1">
          <a:extLst>
            <a:ext uri="{FF2B5EF4-FFF2-40B4-BE49-F238E27FC236}">
              <a16:creationId xmlns:a16="http://schemas.microsoft.com/office/drawing/2014/main" id="{00000000-0008-0000-05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7" name="202" hidden="1">
          <a:extLst>
            <a:ext uri="{FF2B5EF4-FFF2-40B4-BE49-F238E27FC236}">
              <a16:creationId xmlns:a16="http://schemas.microsoft.com/office/drawing/2014/main" id="{00000000-0008-0000-05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8" name="202" hidden="1">
          <a:extLst>
            <a:ext uri="{FF2B5EF4-FFF2-40B4-BE49-F238E27FC236}">
              <a16:creationId xmlns:a16="http://schemas.microsoft.com/office/drawing/2014/main" id="{00000000-0008-0000-05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9" name="202" hidden="1">
          <a:extLst>
            <a:ext uri="{FF2B5EF4-FFF2-40B4-BE49-F238E27FC236}">
              <a16:creationId xmlns:a16="http://schemas.microsoft.com/office/drawing/2014/main" id="{00000000-0008-0000-05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0" name="202" hidden="1">
          <a:extLst>
            <a:ext uri="{FF2B5EF4-FFF2-40B4-BE49-F238E27FC236}">
              <a16:creationId xmlns:a16="http://schemas.microsoft.com/office/drawing/2014/main" id="{00000000-0008-0000-05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1" name="202" hidden="1">
          <a:extLst>
            <a:ext uri="{FF2B5EF4-FFF2-40B4-BE49-F238E27FC236}">
              <a16:creationId xmlns:a16="http://schemas.microsoft.com/office/drawing/2014/main" id="{00000000-0008-0000-05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2" name="202" hidden="1">
          <a:extLst>
            <a:ext uri="{FF2B5EF4-FFF2-40B4-BE49-F238E27FC236}">
              <a16:creationId xmlns:a16="http://schemas.microsoft.com/office/drawing/2014/main" id="{00000000-0008-0000-05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3" name="202" hidden="1">
          <a:extLst>
            <a:ext uri="{FF2B5EF4-FFF2-40B4-BE49-F238E27FC236}">
              <a16:creationId xmlns:a16="http://schemas.microsoft.com/office/drawing/2014/main" id="{00000000-0008-0000-05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4" name="202" hidden="1">
          <a:extLst>
            <a:ext uri="{FF2B5EF4-FFF2-40B4-BE49-F238E27FC236}">
              <a16:creationId xmlns:a16="http://schemas.microsoft.com/office/drawing/2014/main" id="{00000000-0008-0000-05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5" name="202" hidden="1">
          <a:extLst>
            <a:ext uri="{FF2B5EF4-FFF2-40B4-BE49-F238E27FC236}">
              <a16:creationId xmlns:a16="http://schemas.microsoft.com/office/drawing/2014/main" id="{00000000-0008-0000-05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6" name="202" hidden="1">
          <a:extLst>
            <a:ext uri="{FF2B5EF4-FFF2-40B4-BE49-F238E27FC236}">
              <a16:creationId xmlns:a16="http://schemas.microsoft.com/office/drawing/2014/main" id="{00000000-0008-0000-05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7" name="202" hidden="1">
          <a:extLst>
            <a:ext uri="{FF2B5EF4-FFF2-40B4-BE49-F238E27FC236}">
              <a16:creationId xmlns:a16="http://schemas.microsoft.com/office/drawing/2014/main" id="{00000000-0008-0000-05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8" name="202" hidden="1">
          <a:extLst>
            <a:ext uri="{FF2B5EF4-FFF2-40B4-BE49-F238E27FC236}">
              <a16:creationId xmlns:a16="http://schemas.microsoft.com/office/drawing/2014/main" id="{00000000-0008-0000-05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9" name="202" hidden="1">
          <a:extLst>
            <a:ext uri="{FF2B5EF4-FFF2-40B4-BE49-F238E27FC236}">
              <a16:creationId xmlns:a16="http://schemas.microsoft.com/office/drawing/2014/main" id="{00000000-0008-0000-05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0" name="202" hidden="1">
          <a:extLst>
            <a:ext uri="{FF2B5EF4-FFF2-40B4-BE49-F238E27FC236}">
              <a16:creationId xmlns:a16="http://schemas.microsoft.com/office/drawing/2014/main" id="{00000000-0008-0000-05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1" name="202" hidden="1">
          <a:extLst>
            <a:ext uri="{FF2B5EF4-FFF2-40B4-BE49-F238E27FC236}">
              <a16:creationId xmlns:a16="http://schemas.microsoft.com/office/drawing/2014/main" id="{00000000-0008-0000-05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2" name="202" hidden="1">
          <a:extLst>
            <a:ext uri="{FF2B5EF4-FFF2-40B4-BE49-F238E27FC236}">
              <a16:creationId xmlns:a16="http://schemas.microsoft.com/office/drawing/2014/main" id="{00000000-0008-0000-05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3" name="202" hidden="1">
          <a:extLst>
            <a:ext uri="{FF2B5EF4-FFF2-40B4-BE49-F238E27FC236}">
              <a16:creationId xmlns:a16="http://schemas.microsoft.com/office/drawing/2014/main" id="{00000000-0008-0000-05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4" name="202" hidden="1">
          <a:extLst>
            <a:ext uri="{FF2B5EF4-FFF2-40B4-BE49-F238E27FC236}">
              <a16:creationId xmlns:a16="http://schemas.microsoft.com/office/drawing/2014/main" id="{00000000-0008-0000-05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5" name="202" hidden="1">
          <a:extLst>
            <a:ext uri="{FF2B5EF4-FFF2-40B4-BE49-F238E27FC236}">
              <a16:creationId xmlns:a16="http://schemas.microsoft.com/office/drawing/2014/main" id="{00000000-0008-0000-05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57150</xdr:rowOff>
    </xdr:to>
    <xdr:sp macro="" textlink="">
      <xdr:nvSpPr>
        <xdr:cNvPr id="26" name="202" hidden="1">
          <a:extLst>
            <a:ext uri="{FF2B5EF4-FFF2-40B4-BE49-F238E27FC236}">
              <a16:creationId xmlns:a16="http://schemas.microsoft.com/office/drawing/2014/main" id="{00000000-0008-0000-05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57150</xdr:rowOff>
    </xdr:to>
    <xdr:sp macro="" textlink="">
      <xdr:nvSpPr>
        <xdr:cNvPr id="27" name="202" hidden="1">
          <a:extLst>
            <a:ext uri="{FF2B5EF4-FFF2-40B4-BE49-F238E27FC236}">
              <a16:creationId xmlns:a16="http://schemas.microsoft.com/office/drawing/2014/main" id="{00000000-0008-0000-05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57150</xdr:rowOff>
    </xdr:to>
    <xdr:sp macro="" textlink="">
      <xdr:nvSpPr>
        <xdr:cNvPr id="28" name="202" hidden="1">
          <a:extLst>
            <a:ext uri="{FF2B5EF4-FFF2-40B4-BE49-F238E27FC236}">
              <a16:creationId xmlns:a16="http://schemas.microsoft.com/office/drawing/2014/main" id="{00000000-0008-0000-05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50</xdr:row>
      <xdr:rowOff>95250</xdr:rowOff>
    </xdr:to>
    <xdr:sp macro="" textlink="">
      <xdr:nvSpPr>
        <xdr:cNvPr id="29" name="202" hidden="1">
          <a:extLst>
            <a:ext uri="{FF2B5EF4-FFF2-40B4-BE49-F238E27FC236}">
              <a16:creationId xmlns:a16="http://schemas.microsoft.com/office/drawing/2014/main" id="{00000000-0008-0000-05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0</xdr:colOff>
      <xdr:row>47</xdr:row>
      <xdr:rowOff>19050</xdr:rowOff>
    </xdr:to>
    <xdr:sp macro="" textlink="">
      <xdr:nvSpPr>
        <xdr:cNvPr id="56326" name="202" hidden="1">
          <a:extLst>
            <a:ext uri="{FF2B5EF4-FFF2-40B4-BE49-F238E27FC236}">
              <a16:creationId xmlns:a16="http://schemas.microsoft.com/office/drawing/2014/main" id="{00000000-0008-0000-0600-000006D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0</xdr:colOff>
      <xdr:row>39</xdr:row>
      <xdr:rowOff>30480</xdr:rowOff>
    </xdr:to>
    <xdr:sp macro="" textlink="">
      <xdr:nvSpPr>
        <xdr:cNvPr id="2" name="202" hidden="1">
          <a:extLst>
            <a:ext uri="{FF2B5EF4-FFF2-40B4-BE49-F238E27FC236}">
              <a16:creationId xmlns:a16="http://schemas.microsoft.com/office/drawing/2014/main" id="{00000000-0008-0000-0600-000002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0</xdr:colOff>
      <xdr:row>39</xdr:row>
      <xdr:rowOff>30480</xdr:rowOff>
    </xdr:to>
    <xdr:sp macro="" textlink="">
      <xdr:nvSpPr>
        <xdr:cNvPr id="3" name="202" hidden="1">
          <a:extLst>
            <a:ext uri="{FF2B5EF4-FFF2-40B4-BE49-F238E27FC236}">
              <a16:creationId xmlns:a16="http://schemas.microsoft.com/office/drawing/2014/main" id="{00000000-0008-0000-06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171450</xdr:colOff>
      <xdr:row>47</xdr:row>
      <xdr:rowOff>19050</xdr:rowOff>
    </xdr:to>
    <xdr:sp macro="" textlink="">
      <xdr:nvSpPr>
        <xdr:cNvPr id="4" name="202" hidden="1">
          <a:extLst>
            <a:ext uri="{FF2B5EF4-FFF2-40B4-BE49-F238E27FC236}">
              <a16:creationId xmlns:a16="http://schemas.microsoft.com/office/drawing/2014/main" id="{00000000-0008-0000-06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171450</xdr:colOff>
      <xdr:row>47</xdr:row>
      <xdr:rowOff>19050</xdr:rowOff>
    </xdr:to>
    <xdr:sp macro="" textlink="">
      <xdr:nvSpPr>
        <xdr:cNvPr id="5" name="202" hidden="1">
          <a:extLst>
            <a:ext uri="{FF2B5EF4-FFF2-40B4-BE49-F238E27FC236}">
              <a16:creationId xmlns:a16="http://schemas.microsoft.com/office/drawing/2014/main" id="{00000000-0008-0000-06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6" name="202" hidden="1">
          <a:extLst>
            <a:ext uri="{FF2B5EF4-FFF2-40B4-BE49-F238E27FC236}">
              <a16:creationId xmlns:a16="http://schemas.microsoft.com/office/drawing/2014/main" id="{00000000-0008-0000-06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7" name="202" hidden="1">
          <a:extLst>
            <a:ext uri="{FF2B5EF4-FFF2-40B4-BE49-F238E27FC236}">
              <a16:creationId xmlns:a16="http://schemas.microsoft.com/office/drawing/2014/main" id="{00000000-0008-0000-06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8" name="202" hidden="1">
          <a:extLst>
            <a:ext uri="{FF2B5EF4-FFF2-40B4-BE49-F238E27FC236}">
              <a16:creationId xmlns:a16="http://schemas.microsoft.com/office/drawing/2014/main" id="{00000000-0008-0000-06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9" name="202" hidden="1">
          <a:extLst>
            <a:ext uri="{FF2B5EF4-FFF2-40B4-BE49-F238E27FC236}">
              <a16:creationId xmlns:a16="http://schemas.microsoft.com/office/drawing/2014/main" id="{00000000-0008-0000-06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10" name="202" hidden="1">
          <a:extLst>
            <a:ext uri="{FF2B5EF4-FFF2-40B4-BE49-F238E27FC236}">
              <a16:creationId xmlns:a16="http://schemas.microsoft.com/office/drawing/2014/main" id="{00000000-0008-0000-06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11" name="202" hidden="1">
          <a:extLst>
            <a:ext uri="{FF2B5EF4-FFF2-40B4-BE49-F238E27FC236}">
              <a16:creationId xmlns:a16="http://schemas.microsoft.com/office/drawing/2014/main" id="{00000000-0008-0000-06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12" name="202" hidden="1">
          <a:extLst>
            <a:ext uri="{FF2B5EF4-FFF2-40B4-BE49-F238E27FC236}">
              <a16:creationId xmlns:a16="http://schemas.microsoft.com/office/drawing/2014/main" id="{00000000-0008-0000-06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13" name="202" hidden="1">
          <a:extLst>
            <a:ext uri="{FF2B5EF4-FFF2-40B4-BE49-F238E27FC236}">
              <a16:creationId xmlns:a16="http://schemas.microsoft.com/office/drawing/2014/main" id="{00000000-0008-0000-06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14" name="202" hidden="1">
          <a:extLst>
            <a:ext uri="{FF2B5EF4-FFF2-40B4-BE49-F238E27FC236}">
              <a16:creationId xmlns:a16="http://schemas.microsoft.com/office/drawing/2014/main" id="{00000000-0008-0000-06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15" name="202" hidden="1">
          <a:extLst>
            <a:ext uri="{FF2B5EF4-FFF2-40B4-BE49-F238E27FC236}">
              <a16:creationId xmlns:a16="http://schemas.microsoft.com/office/drawing/2014/main" id="{00000000-0008-0000-06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16" name="202" hidden="1">
          <a:extLst>
            <a:ext uri="{FF2B5EF4-FFF2-40B4-BE49-F238E27FC236}">
              <a16:creationId xmlns:a16="http://schemas.microsoft.com/office/drawing/2014/main" id="{00000000-0008-0000-06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17" name="202" hidden="1">
          <a:extLst>
            <a:ext uri="{FF2B5EF4-FFF2-40B4-BE49-F238E27FC236}">
              <a16:creationId xmlns:a16="http://schemas.microsoft.com/office/drawing/2014/main" id="{00000000-0008-0000-06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18" name="202" hidden="1">
          <a:extLst>
            <a:ext uri="{FF2B5EF4-FFF2-40B4-BE49-F238E27FC236}">
              <a16:creationId xmlns:a16="http://schemas.microsoft.com/office/drawing/2014/main" id="{00000000-0008-0000-06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19" name="202" hidden="1">
          <a:extLst>
            <a:ext uri="{FF2B5EF4-FFF2-40B4-BE49-F238E27FC236}">
              <a16:creationId xmlns:a16="http://schemas.microsoft.com/office/drawing/2014/main" id="{00000000-0008-0000-06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20" name="202" hidden="1">
          <a:extLst>
            <a:ext uri="{FF2B5EF4-FFF2-40B4-BE49-F238E27FC236}">
              <a16:creationId xmlns:a16="http://schemas.microsoft.com/office/drawing/2014/main" id="{00000000-0008-0000-06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21" name="202" hidden="1">
          <a:extLst>
            <a:ext uri="{FF2B5EF4-FFF2-40B4-BE49-F238E27FC236}">
              <a16:creationId xmlns:a16="http://schemas.microsoft.com/office/drawing/2014/main" id="{00000000-0008-0000-06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22" name="202" hidden="1">
          <a:extLst>
            <a:ext uri="{FF2B5EF4-FFF2-40B4-BE49-F238E27FC236}">
              <a16:creationId xmlns:a16="http://schemas.microsoft.com/office/drawing/2014/main" id="{00000000-0008-0000-06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23" name="202" hidden="1">
          <a:extLst>
            <a:ext uri="{FF2B5EF4-FFF2-40B4-BE49-F238E27FC236}">
              <a16:creationId xmlns:a16="http://schemas.microsoft.com/office/drawing/2014/main" id="{00000000-0008-0000-06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24" name="202" hidden="1">
          <a:extLst>
            <a:ext uri="{FF2B5EF4-FFF2-40B4-BE49-F238E27FC236}">
              <a16:creationId xmlns:a16="http://schemas.microsoft.com/office/drawing/2014/main" id="{00000000-0008-0000-06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25" name="202" hidden="1">
          <a:extLst>
            <a:ext uri="{FF2B5EF4-FFF2-40B4-BE49-F238E27FC236}">
              <a16:creationId xmlns:a16="http://schemas.microsoft.com/office/drawing/2014/main" id="{00000000-0008-0000-06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26" name="202" hidden="1">
          <a:extLst>
            <a:ext uri="{FF2B5EF4-FFF2-40B4-BE49-F238E27FC236}">
              <a16:creationId xmlns:a16="http://schemas.microsoft.com/office/drawing/2014/main" id="{00000000-0008-0000-06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47</xdr:row>
      <xdr:rowOff>19050</xdr:rowOff>
    </xdr:to>
    <xdr:sp macro="" textlink="">
      <xdr:nvSpPr>
        <xdr:cNvPr id="27" name="202" hidden="1">
          <a:extLst>
            <a:ext uri="{FF2B5EF4-FFF2-40B4-BE49-F238E27FC236}">
              <a16:creationId xmlns:a16="http://schemas.microsoft.com/office/drawing/2014/main" id="{00000000-0008-0000-06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19050</xdr:rowOff>
    </xdr:to>
    <xdr:sp macro="" textlink="">
      <xdr:nvSpPr>
        <xdr:cNvPr id="28" name="202" hidden="1">
          <a:extLst>
            <a:ext uri="{FF2B5EF4-FFF2-40B4-BE49-F238E27FC236}">
              <a16:creationId xmlns:a16="http://schemas.microsoft.com/office/drawing/2014/main" id="{00000000-0008-0000-06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19050</xdr:rowOff>
    </xdr:to>
    <xdr:sp macro="" textlink="">
      <xdr:nvSpPr>
        <xdr:cNvPr id="29" name="202" hidden="1">
          <a:extLst>
            <a:ext uri="{FF2B5EF4-FFF2-40B4-BE49-F238E27FC236}">
              <a16:creationId xmlns:a16="http://schemas.microsoft.com/office/drawing/2014/main" id="{00000000-0008-0000-06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0</xdr:colOff>
      <xdr:row>29</xdr:row>
      <xdr:rowOff>180975</xdr:rowOff>
    </xdr:to>
    <xdr:sp macro="" textlink="">
      <xdr:nvSpPr>
        <xdr:cNvPr id="12300" name="202" hidden="1">
          <a:extLst>
            <a:ext uri="{FF2B5EF4-FFF2-40B4-BE49-F238E27FC236}">
              <a16:creationId xmlns:a16="http://schemas.microsoft.com/office/drawing/2014/main" id="{00000000-0008-0000-0800-00000C3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0</xdr:colOff>
      <xdr:row>29</xdr:row>
      <xdr:rowOff>180975</xdr:rowOff>
    </xdr:to>
    <xdr:sp macro="" textlink="">
      <xdr:nvSpPr>
        <xdr:cNvPr id="2" name="202" hidden="1">
          <a:extLst>
            <a:ext uri="{FF2B5EF4-FFF2-40B4-BE49-F238E27FC236}">
              <a16:creationId xmlns:a16="http://schemas.microsoft.com/office/drawing/2014/main" id="{00000000-0008-0000-08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0</xdr:colOff>
      <xdr:row>36</xdr:row>
      <xdr:rowOff>0</xdr:rowOff>
    </xdr:to>
    <xdr:sp macro="" textlink="">
      <xdr:nvSpPr>
        <xdr:cNvPr id="3" name="202" hidden="1">
          <a:extLst>
            <a:ext uri="{FF2B5EF4-FFF2-40B4-BE49-F238E27FC236}">
              <a16:creationId xmlns:a16="http://schemas.microsoft.com/office/drawing/2014/main" id="{00000000-0008-0000-08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0</xdr:colOff>
      <xdr:row>53</xdr:row>
      <xdr:rowOff>76200</xdr:rowOff>
    </xdr:to>
    <xdr:sp macro="" textlink="">
      <xdr:nvSpPr>
        <xdr:cNvPr id="12301" name="202" hidden="1">
          <a:extLst>
            <a:ext uri="{FF2B5EF4-FFF2-40B4-BE49-F238E27FC236}">
              <a16:creationId xmlns:a16="http://schemas.microsoft.com/office/drawing/2014/main" id="{00000000-0008-0000-0800-00000D3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1844040</xdr:colOff>
      <xdr:row>36</xdr:row>
      <xdr:rowOff>114300</xdr:rowOff>
    </xdr:to>
    <xdr:sp macro="" textlink="">
      <xdr:nvSpPr>
        <xdr:cNvPr id="4" name="202" hidden="1">
          <a:extLst>
            <a:ext uri="{FF2B5EF4-FFF2-40B4-BE49-F238E27FC236}">
              <a16:creationId xmlns:a16="http://schemas.microsoft.com/office/drawing/2014/main" id="{00000000-0008-0000-0800-000004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1844040</xdr:colOff>
      <xdr:row>36</xdr:row>
      <xdr:rowOff>114300</xdr:rowOff>
    </xdr:to>
    <xdr:sp macro="" textlink="">
      <xdr:nvSpPr>
        <xdr:cNvPr id="5" name="202" hidden="1">
          <a:extLst>
            <a:ext uri="{FF2B5EF4-FFF2-40B4-BE49-F238E27FC236}">
              <a16:creationId xmlns:a16="http://schemas.microsoft.com/office/drawing/2014/main" id="{00000000-0008-0000-08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0</xdr:colOff>
      <xdr:row>52</xdr:row>
      <xdr:rowOff>76200</xdr:rowOff>
    </xdr:to>
    <xdr:sp macro="" textlink="">
      <xdr:nvSpPr>
        <xdr:cNvPr id="6" name="202" hidden="1">
          <a:extLst>
            <a:ext uri="{FF2B5EF4-FFF2-40B4-BE49-F238E27FC236}">
              <a16:creationId xmlns:a16="http://schemas.microsoft.com/office/drawing/2014/main" id="{00000000-0008-0000-08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0</xdr:colOff>
      <xdr:row>52</xdr:row>
      <xdr:rowOff>76200</xdr:rowOff>
    </xdr:to>
    <xdr:sp macro="" textlink="">
      <xdr:nvSpPr>
        <xdr:cNvPr id="7" name="202" hidden="1">
          <a:extLst>
            <a:ext uri="{FF2B5EF4-FFF2-40B4-BE49-F238E27FC236}">
              <a16:creationId xmlns:a16="http://schemas.microsoft.com/office/drawing/2014/main" id="{00000000-0008-0000-08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8" name="202" hidden="1">
          <a:extLst>
            <a:ext uri="{FF2B5EF4-FFF2-40B4-BE49-F238E27FC236}">
              <a16:creationId xmlns:a16="http://schemas.microsoft.com/office/drawing/2014/main" id="{00000000-0008-0000-08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9" name="202" hidden="1">
          <a:extLst>
            <a:ext uri="{FF2B5EF4-FFF2-40B4-BE49-F238E27FC236}">
              <a16:creationId xmlns:a16="http://schemas.microsoft.com/office/drawing/2014/main" id="{00000000-0008-0000-08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0" name="202" hidden="1">
          <a:extLst>
            <a:ext uri="{FF2B5EF4-FFF2-40B4-BE49-F238E27FC236}">
              <a16:creationId xmlns:a16="http://schemas.microsoft.com/office/drawing/2014/main" id="{00000000-0008-0000-08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1" name="202" hidden="1">
          <a:extLst>
            <a:ext uri="{FF2B5EF4-FFF2-40B4-BE49-F238E27FC236}">
              <a16:creationId xmlns:a16="http://schemas.microsoft.com/office/drawing/2014/main" id="{00000000-0008-0000-08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2" name="202" hidden="1">
          <a:extLst>
            <a:ext uri="{FF2B5EF4-FFF2-40B4-BE49-F238E27FC236}">
              <a16:creationId xmlns:a16="http://schemas.microsoft.com/office/drawing/2014/main" id="{00000000-0008-0000-08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3" name="202" hidden="1">
          <a:extLst>
            <a:ext uri="{FF2B5EF4-FFF2-40B4-BE49-F238E27FC236}">
              <a16:creationId xmlns:a16="http://schemas.microsoft.com/office/drawing/2014/main" id="{00000000-0008-0000-08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4" name="202" hidden="1">
          <a:extLst>
            <a:ext uri="{FF2B5EF4-FFF2-40B4-BE49-F238E27FC236}">
              <a16:creationId xmlns:a16="http://schemas.microsoft.com/office/drawing/2014/main" id="{00000000-0008-0000-08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5" name="202" hidden="1">
          <a:extLst>
            <a:ext uri="{FF2B5EF4-FFF2-40B4-BE49-F238E27FC236}">
              <a16:creationId xmlns:a16="http://schemas.microsoft.com/office/drawing/2014/main" id="{00000000-0008-0000-08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6" name="202" hidden="1">
          <a:extLst>
            <a:ext uri="{FF2B5EF4-FFF2-40B4-BE49-F238E27FC236}">
              <a16:creationId xmlns:a16="http://schemas.microsoft.com/office/drawing/2014/main" id="{00000000-0008-0000-08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7" name="202" hidden="1">
          <a:extLst>
            <a:ext uri="{FF2B5EF4-FFF2-40B4-BE49-F238E27FC236}">
              <a16:creationId xmlns:a16="http://schemas.microsoft.com/office/drawing/2014/main" id="{00000000-0008-0000-08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8" name="202" hidden="1">
          <a:extLst>
            <a:ext uri="{FF2B5EF4-FFF2-40B4-BE49-F238E27FC236}">
              <a16:creationId xmlns:a16="http://schemas.microsoft.com/office/drawing/2014/main" id="{00000000-0008-0000-08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9" name="202" hidden="1">
          <a:extLst>
            <a:ext uri="{FF2B5EF4-FFF2-40B4-BE49-F238E27FC236}">
              <a16:creationId xmlns:a16="http://schemas.microsoft.com/office/drawing/2014/main" id="{00000000-0008-0000-08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0" name="202" hidden="1">
          <a:extLst>
            <a:ext uri="{FF2B5EF4-FFF2-40B4-BE49-F238E27FC236}">
              <a16:creationId xmlns:a16="http://schemas.microsoft.com/office/drawing/2014/main" id="{00000000-0008-0000-08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1" name="202" hidden="1">
          <a:extLst>
            <a:ext uri="{FF2B5EF4-FFF2-40B4-BE49-F238E27FC236}">
              <a16:creationId xmlns:a16="http://schemas.microsoft.com/office/drawing/2014/main" id="{00000000-0008-0000-08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2" name="202" hidden="1">
          <a:extLst>
            <a:ext uri="{FF2B5EF4-FFF2-40B4-BE49-F238E27FC236}">
              <a16:creationId xmlns:a16="http://schemas.microsoft.com/office/drawing/2014/main" id="{00000000-0008-0000-08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3" name="202" hidden="1">
          <a:extLst>
            <a:ext uri="{FF2B5EF4-FFF2-40B4-BE49-F238E27FC236}">
              <a16:creationId xmlns:a16="http://schemas.microsoft.com/office/drawing/2014/main" id="{00000000-0008-0000-08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4" name="202" hidden="1">
          <a:extLst>
            <a:ext uri="{FF2B5EF4-FFF2-40B4-BE49-F238E27FC236}">
              <a16:creationId xmlns:a16="http://schemas.microsoft.com/office/drawing/2014/main" id="{00000000-0008-0000-08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5" name="202" hidden="1">
          <a:extLst>
            <a:ext uri="{FF2B5EF4-FFF2-40B4-BE49-F238E27FC236}">
              <a16:creationId xmlns:a16="http://schemas.microsoft.com/office/drawing/2014/main" id="{00000000-0008-0000-08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6" name="202" hidden="1">
          <a:extLst>
            <a:ext uri="{FF2B5EF4-FFF2-40B4-BE49-F238E27FC236}">
              <a16:creationId xmlns:a16="http://schemas.microsoft.com/office/drawing/2014/main" id="{00000000-0008-0000-08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7" name="202" hidden="1">
          <a:extLst>
            <a:ext uri="{FF2B5EF4-FFF2-40B4-BE49-F238E27FC236}">
              <a16:creationId xmlns:a16="http://schemas.microsoft.com/office/drawing/2014/main" id="{00000000-0008-0000-08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8" name="202" hidden="1">
          <a:extLst>
            <a:ext uri="{FF2B5EF4-FFF2-40B4-BE49-F238E27FC236}">
              <a16:creationId xmlns:a16="http://schemas.microsoft.com/office/drawing/2014/main" id="{00000000-0008-0000-08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9" name="202" hidden="1">
          <a:extLst>
            <a:ext uri="{FF2B5EF4-FFF2-40B4-BE49-F238E27FC236}">
              <a16:creationId xmlns:a16="http://schemas.microsoft.com/office/drawing/2014/main" id="{00000000-0008-0000-08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30" name="202" hidden="1">
          <a:extLst>
            <a:ext uri="{FF2B5EF4-FFF2-40B4-BE49-F238E27FC236}">
              <a16:creationId xmlns:a16="http://schemas.microsoft.com/office/drawing/2014/main" id="{00000000-0008-0000-08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31" name="202" hidden="1">
          <a:extLst>
            <a:ext uri="{FF2B5EF4-FFF2-40B4-BE49-F238E27FC236}">
              <a16:creationId xmlns:a16="http://schemas.microsoft.com/office/drawing/2014/main" id="{00000000-0008-0000-08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609600</xdr:colOff>
      <xdr:row>34</xdr:row>
      <xdr:rowOff>0</xdr:rowOff>
    </xdr:to>
    <xdr:sp macro="" textlink="">
      <xdr:nvSpPr>
        <xdr:cNvPr id="46085" name="202" hidden="1">
          <a:extLst>
            <a:ext uri="{FF2B5EF4-FFF2-40B4-BE49-F238E27FC236}">
              <a16:creationId xmlns:a16="http://schemas.microsoft.com/office/drawing/2014/main" id="{00000000-0008-0000-0900-000005B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571500</xdr:colOff>
      <xdr:row>36</xdr:row>
      <xdr:rowOff>121920</xdr:rowOff>
    </xdr:to>
    <xdr:sp macro="" textlink="">
      <xdr:nvSpPr>
        <xdr:cNvPr id="2" name="202" hidden="1">
          <a:extLst>
            <a:ext uri="{FF2B5EF4-FFF2-40B4-BE49-F238E27FC236}">
              <a16:creationId xmlns:a16="http://schemas.microsoft.com/office/drawing/2014/main" id="{00000000-0008-0000-0900-000002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571500</xdr:colOff>
      <xdr:row>36</xdr:row>
      <xdr:rowOff>121920</xdr:rowOff>
    </xdr:to>
    <xdr:sp macro="" textlink="">
      <xdr:nvSpPr>
        <xdr:cNvPr id="3" name="202" hidden="1">
          <a:extLst>
            <a:ext uri="{FF2B5EF4-FFF2-40B4-BE49-F238E27FC236}">
              <a16:creationId xmlns:a16="http://schemas.microsoft.com/office/drawing/2014/main" id="{00000000-0008-0000-09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238125</xdr:colOff>
      <xdr:row>51</xdr:row>
      <xdr:rowOff>95250</xdr:rowOff>
    </xdr:to>
    <xdr:sp macro="" textlink="">
      <xdr:nvSpPr>
        <xdr:cNvPr id="4" name="202" hidden="1">
          <a:extLst>
            <a:ext uri="{FF2B5EF4-FFF2-40B4-BE49-F238E27FC236}">
              <a16:creationId xmlns:a16="http://schemas.microsoft.com/office/drawing/2014/main" id="{00000000-0008-0000-09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238125</xdr:colOff>
      <xdr:row>51</xdr:row>
      <xdr:rowOff>95250</xdr:rowOff>
    </xdr:to>
    <xdr:sp macro="" textlink="">
      <xdr:nvSpPr>
        <xdr:cNvPr id="5" name="202" hidden="1">
          <a:extLst>
            <a:ext uri="{FF2B5EF4-FFF2-40B4-BE49-F238E27FC236}">
              <a16:creationId xmlns:a16="http://schemas.microsoft.com/office/drawing/2014/main" id="{00000000-0008-0000-09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6" name="202" hidden="1">
          <a:extLst>
            <a:ext uri="{FF2B5EF4-FFF2-40B4-BE49-F238E27FC236}">
              <a16:creationId xmlns:a16="http://schemas.microsoft.com/office/drawing/2014/main" id="{00000000-0008-0000-09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7" name="202" hidden="1">
          <a:extLst>
            <a:ext uri="{FF2B5EF4-FFF2-40B4-BE49-F238E27FC236}">
              <a16:creationId xmlns:a16="http://schemas.microsoft.com/office/drawing/2014/main" id="{00000000-0008-0000-09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8" name="202" hidden="1">
          <a:extLst>
            <a:ext uri="{FF2B5EF4-FFF2-40B4-BE49-F238E27FC236}">
              <a16:creationId xmlns:a16="http://schemas.microsoft.com/office/drawing/2014/main" id="{00000000-0008-0000-09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9" name="202" hidden="1">
          <a:extLst>
            <a:ext uri="{FF2B5EF4-FFF2-40B4-BE49-F238E27FC236}">
              <a16:creationId xmlns:a16="http://schemas.microsoft.com/office/drawing/2014/main" id="{00000000-0008-0000-09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0" name="202" hidden="1">
          <a:extLst>
            <a:ext uri="{FF2B5EF4-FFF2-40B4-BE49-F238E27FC236}">
              <a16:creationId xmlns:a16="http://schemas.microsoft.com/office/drawing/2014/main" id="{00000000-0008-0000-09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1" name="202" hidden="1">
          <a:extLst>
            <a:ext uri="{FF2B5EF4-FFF2-40B4-BE49-F238E27FC236}">
              <a16:creationId xmlns:a16="http://schemas.microsoft.com/office/drawing/2014/main" id="{00000000-0008-0000-09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2" name="202" hidden="1">
          <a:extLst>
            <a:ext uri="{FF2B5EF4-FFF2-40B4-BE49-F238E27FC236}">
              <a16:creationId xmlns:a16="http://schemas.microsoft.com/office/drawing/2014/main" id="{00000000-0008-0000-09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3" name="202" hidden="1">
          <a:extLst>
            <a:ext uri="{FF2B5EF4-FFF2-40B4-BE49-F238E27FC236}">
              <a16:creationId xmlns:a16="http://schemas.microsoft.com/office/drawing/2014/main" id="{00000000-0008-0000-09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4" name="202" hidden="1">
          <a:extLst>
            <a:ext uri="{FF2B5EF4-FFF2-40B4-BE49-F238E27FC236}">
              <a16:creationId xmlns:a16="http://schemas.microsoft.com/office/drawing/2014/main" id="{00000000-0008-0000-09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5" name="202" hidden="1">
          <a:extLst>
            <a:ext uri="{FF2B5EF4-FFF2-40B4-BE49-F238E27FC236}">
              <a16:creationId xmlns:a16="http://schemas.microsoft.com/office/drawing/2014/main" id="{00000000-0008-0000-09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6" name="202" hidden="1">
          <a:extLst>
            <a:ext uri="{FF2B5EF4-FFF2-40B4-BE49-F238E27FC236}">
              <a16:creationId xmlns:a16="http://schemas.microsoft.com/office/drawing/2014/main" id="{00000000-0008-0000-09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7" name="202" hidden="1">
          <a:extLst>
            <a:ext uri="{FF2B5EF4-FFF2-40B4-BE49-F238E27FC236}">
              <a16:creationId xmlns:a16="http://schemas.microsoft.com/office/drawing/2014/main" id="{00000000-0008-0000-09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8" name="202" hidden="1">
          <a:extLst>
            <a:ext uri="{FF2B5EF4-FFF2-40B4-BE49-F238E27FC236}">
              <a16:creationId xmlns:a16="http://schemas.microsoft.com/office/drawing/2014/main" id="{00000000-0008-0000-09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9" name="202" hidden="1">
          <a:extLst>
            <a:ext uri="{FF2B5EF4-FFF2-40B4-BE49-F238E27FC236}">
              <a16:creationId xmlns:a16="http://schemas.microsoft.com/office/drawing/2014/main" id="{00000000-0008-0000-09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20" name="202" hidden="1">
          <a:extLst>
            <a:ext uri="{FF2B5EF4-FFF2-40B4-BE49-F238E27FC236}">
              <a16:creationId xmlns:a16="http://schemas.microsoft.com/office/drawing/2014/main" id="{00000000-0008-0000-09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21" name="202" hidden="1">
          <a:extLst>
            <a:ext uri="{FF2B5EF4-FFF2-40B4-BE49-F238E27FC236}">
              <a16:creationId xmlns:a16="http://schemas.microsoft.com/office/drawing/2014/main" id="{00000000-0008-0000-09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22" name="202" hidden="1">
          <a:extLst>
            <a:ext uri="{FF2B5EF4-FFF2-40B4-BE49-F238E27FC236}">
              <a16:creationId xmlns:a16="http://schemas.microsoft.com/office/drawing/2014/main" id="{00000000-0008-0000-09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23" name="202" hidden="1">
          <a:extLst>
            <a:ext uri="{FF2B5EF4-FFF2-40B4-BE49-F238E27FC236}">
              <a16:creationId xmlns:a16="http://schemas.microsoft.com/office/drawing/2014/main" id="{00000000-0008-0000-09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4" name="202" hidden="1">
          <a:extLst>
            <a:ext uri="{FF2B5EF4-FFF2-40B4-BE49-F238E27FC236}">
              <a16:creationId xmlns:a16="http://schemas.microsoft.com/office/drawing/2014/main" id="{00000000-0008-0000-09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5" name="202" hidden="1">
          <a:extLst>
            <a:ext uri="{FF2B5EF4-FFF2-40B4-BE49-F238E27FC236}">
              <a16:creationId xmlns:a16="http://schemas.microsoft.com/office/drawing/2014/main" id="{00000000-0008-0000-09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6" name="202" hidden="1">
          <a:extLst>
            <a:ext uri="{FF2B5EF4-FFF2-40B4-BE49-F238E27FC236}">
              <a16:creationId xmlns:a16="http://schemas.microsoft.com/office/drawing/2014/main" id="{00000000-0008-0000-09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7" name="202" hidden="1">
          <a:extLst>
            <a:ext uri="{FF2B5EF4-FFF2-40B4-BE49-F238E27FC236}">
              <a16:creationId xmlns:a16="http://schemas.microsoft.com/office/drawing/2014/main" id="{00000000-0008-0000-09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8" name="202" hidden="1">
          <a:extLst>
            <a:ext uri="{FF2B5EF4-FFF2-40B4-BE49-F238E27FC236}">
              <a16:creationId xmlns:a16="http://schemas.microsoft.com/office/drawing/2014/main" id="{00000000-0008-0000-09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9" name="202" hidden="1">
          <a:extLst>
            <a:ext uri="{FF2B5EF4-FFF2-40B4-BE49-F238E27FC236}">
              <a16:creationId xmlns:a16="http://schemas.microsoft.com/office/drawing/2014/main" id="{00000000-0008-0000-09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742950</xdr:colOff>
      <xdr:row>43</xdr:row>
      <xdr:rowOff>95250</xdr:rowOff>
    </xdr:to>
    <xdr:sp macro="" textlink="">
      <xdr:nvSpPr>
        <xdr:cNvPr id="13336" name="202" hidden="1">
          <a:extLst>
            <a:ext uri="{FF2B5EF4-FFF2-40B4-BE49-F238E27FC236}">
              <a16:creationId xmlns:a16="http://schemas.microsoft.com/office/drawing/2014/main" id="{00000000-0008-0000-0A00-0000183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 name="202" hidden="1">
          <a:extLst>
            <a:ext uri="{FF2B5EF4-FFF2-40B4-BE49-F238E27FC236}">
              <a16:creationId xmlns:a16="http://schemas.microsoft.com/office/drawing/2014/main" id="{00000000-0008-0000-0A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 name="202" hidden="1">
          <a:extLst>
            <a:ext uri="{FF2B5EF4-FFF2-40B4-BE49-F238E27FC236}">
              <a16:creationId xmlns:a16="http://schemas.microsoft.com/office/drawing/2014/main" id="{00000000-0008-0000-0A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4" name="202" hidden="1">
          <a:extLst>
            <a:ext uri="{FF2B5EF4-FFF2-40B4-BE49-F238E27FC236}">
              <a16:creationId xmlns:a16="http://schemas.microsoft.com/office/drawing/2014/main" id="{00000000-0008-0000-0A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365760</xdr:colOff>
      <xdr:row>33</xdr:row>
      <xdr:rowOff>91440</xdr:rowOff>
    </xdr:to>
    <xdr:sp macro="" textlink="">
      <xdr:nvSpPr>
        <xdr:cNvPr id="5" name="202" hidden="1">
          <a:extLst>
            <a:ext uri="{FF2B5EF4-FFF2-40B4-BE49-F238E27FC236}">
              <a16:creationId xmlns:a16="http://schemas.microsoft.com/office/drawing/2014/main" id="{00000000-0008-0000-0A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365760</xdr:colOff>
      <xdr:row>33</xdr:row>
      <xdr:rowOff>91440</xdr:rowOff>
    </xdr:to>
    <xdr:sp macro="" textlink="">
      <xdr:nvSpPr>
        <xdr:cNvPr id="6" name="202" hidden="1">
          <a:extLst>
            <a:ext uri="{FF2B5EF4-FFF2-40B4-BE49-F238E27FC236}">
              <a16:creationId xmlns:a16="http://schemas.microsoft.com/office/drawing/2014/main" id="{00000000-0008-0000-0A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7" name="202" hidden="1">
          <a:extLst>
            <a:ext uri="{FF2B5EF4-FFF2-40B4-BE49-F238E27FC236}">
              <a16:creationId xmlns:a16="http://schemas.microsoft.com/office/drawing/2014/main" id="{00000000-0008-0000-0A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8" name="202" hidden="1">
          <a:extLst>
            <a:ext uri="{FF2B5EF4-FFF2-40B4-BE49-F238E27FC236}">
              <a16:creationId xmlns:a16="http://schemas.microsoft.com/office/drawing/2014/main" id="{00000000-0008-0000-0A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9" name="202" hidden="1">
          <a:extLst>
            <a:ext uri="{FF2B5EF4-FFF2-40B4-BE49-F238E27FC236}">
              <a16:creationId xmlns:a16="http://schemas.microsoft.com/office/drawing/2014/main" id="{00000000-0008-0000-0A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0" name="202" hidden="1">
          <a:extLst>
            <a:ext uri="{FF2B5EF4-FFF2-40B4-BE49-F238E27FC236}">
              <a16:creationId xmlns:a16="http://schemas.microsoft.com/office/drawing/2014/main" id="{00000000-0008-0000-0A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1" name="202" hidden="1">
          <a:extLst>
            <a:ext uri="{FF2B5EF4-FFF2-40B4-BE49-F238E27FC236}">
              <a16:creationId xmlns:a16="http://schemas.microsoft.com/office/drawing/2014/main" id="{00000000-0008-0000-0A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2" name="202" hidden="1">
          <a:extLst>
            <a:ext uri="{FF2B5EF4-FFF2-40B4-BE49-F238E27FC236}">
              <a16:creationId xmlns:a16="http://schemas.microsoft.com/office/drawing/2014/main" id="{00000000-0008-0000-0A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3" name="202" hidden="1">
          <a:extLst>
            <a:ext uri="{FF2B5EF4-FFF2-40B4-BE49-F238E27FC236}">
              <a16:creationId xmlns:a16="http://schemas.microsoft.com/office/drawing/2014/main" id="{00000000-0008-0000-0A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4" name="202" hidden="1">
          <a:extLst>
            <a:ext uri="{FF2B5EF4-FFF2-40B4-BE49-F238E27FC236}">
              <a16:creationId xmlns:a16="http://schemas.microsoft.com/office/drawing/2014/main" id="{00000000-0008-0000-0A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5" name="202" hidden="1">
          <a:extLst>
            <a:ext uri="{FF2B5EF4-FFF2-40B4-BE49-F238E27FC236}">
              <a16:creationId xmlns:a16="http://schemas.microsoft.com/office/drawing/2014/main" id="{00000000-0008-0000-0A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6" name="202" hidden="1">
          <a:extLst>
            <a:ext uri="{FF2B5EF4-FFF2-40B4-BE49-F238E27FC236}">
              <a16:creationId xmlns:a16="http://schemas.microsoft.com/office/drawing/2014/main" id="{00000000-0008-0000-0A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7" name="202" hidden="1">
          <a:extLst>
            <a:ext uri="{FF2B5EF4-FFF2-40B4-BE49-F238E27FC236}">
              <a16:creationId xmlns:a16="http://schemas.microsoft.com/office/drawing/2014/main" id="{00000000-0008-0000-0A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8" name="202" hidden="1">
          <a:extLst>
            <a:ext uri="{FF2B5EF4-FFF2-40B4-BE49-F238E27FC236}">
              <a16:creationId xmlns:a16="http://schemas.microsoft.com/office/drawing/2014/main" id="{00000000-0008-0000-0A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9" name="202" hidden="1">
          <a:extLst>
            <a:ext uri="{FF2B5EF4-FFF2-40B4-BE49-F238E27FC236}">
              <a16:creationId xmlns:a16="http://schemas.microsoft.com/office/drawing/2014/main" id="{00000000-0008-0000-0A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0" name="202" hidden="1">
          <a:extLst>
            <a:ext uri="{FF2B5EF4-FFF2-40B4-BE49-F238E27FC236}">
              <a16:creationId xmlns:a16="http://schemas.microsoft.com/office/drawing/2014/main" id="{00000000-0008-0000-0A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1" name="202" hidden="1">
          <a:extLst>
            <a:ext uri="{FF2B5EF4-FFF2-40B4-BE49-F238E27FC236}">
              <a16:creationId xmlns:a16="http://schemas.microsoft.com/office/drawing/2014/main" id="{00000000-0008-0000-0A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2" name="202" hidden="1">
          <a:extLst>
            <a:ext uri="{FF2B5EF4-FFF2-40B4-BE49-F238E27FC236}">
              <a16:creationId xmlns:a16="http://schemas.microsoft.com/office/drawing/2014/main" id="{00000000-0008-0000-0A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3" name="202" hidden="1">
          <a:extLst>
            <a:ext uri="{FF2B5EF4-FFF2-40B4-BE49-F238E27FC236}">
              <a16:creationId xmlns:a16="http://schemas.microsoft.com/office/drawing/2014/main" id="{00000000-0008-0000-0A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4" name="202" hidden="1">
          <a:extLst>
            <a:ext uri="{FF2B5EF4-FFF2-40B4-BE49-F238E27FC236}">
              <a16:creationId xmlns:a16="http://schemas.microsoft.com/office/drawing/2014/main" id="{00000000-0008-0000-0A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5" name="202" hidden="1">
          <a:extLst>
            <a:ext uri="{FF2B5EF4-FFF2-40B4-BE49-F238E27FC236}">
              <a16:creationId xmlns:a16="http://schemas.microsoft.com/office/drawing/2014/main" id="{00000000-0008-0000-0A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6" name="202" hidden="1">
          <a:extLst>
            <a:ext uri="{FF2B5EF4-FFF2-40B4-BE49-F238E27FC236}">
              <a16:creationId xmlns:a16="http://schemas.microsoft.com/office/drawing/2014/main" id="{00000000-0008-0000-0A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7" name="202" hidden="1">
          <a:extLst>
            <a:ext uri="{FF2B5EF4-FFF2-40B4-BE49-F238E27FC236}">
              <a16:creationId xmlns:a16="http://schemas.microsoft.com/office/drawing/2014/main" id="{00000000-0008-0000-0A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8" name="202" hidden="1">
          <a:extLst>
            <a:ext uri="{FF2B5EF4-FFF2-40B4-BE49-F238E27FC236}">
              <a16:creationId xmlns:a16="http://schemas.microsoft.com/office/drawing/2014/main" id="{00000000-0008-0000-0A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9" name="202" hidden="1">
          <a:extLst>
            <a:ext uri="{FF2B5EF4-FFF2-40B4-BE49-F238E27FC236}">
              <a16:creationId xmlns:a16="http://schemas.microsoft.com/office/drawing/2014/main" id="{00000000-0008-0000-0A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0" name="202" hidden="1">
          <a:extLst>
            <a:ext uri="{FF2B5EF4-FFF2-40B4-BE49-F238E27FC236}">
              <a16:creationId xmlns:a16="http://schemas.microsoft.com/office/drawing/2014/main" id="{00000000-0008-0000-0A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1" name="202" hidden="1">
          <a:extLst>
            <a:ext uri="{FF2B5EF4-FFF2-40B4-BE49-F238E27FC236}">
              <a16:creationId xmlns:a16="http://schemas.microsoft.com/office/drawing/2014/main" id="{00000000-0008-0000-0A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2" name="202" hidden="1">
          <a:extLst>
            <a:ext uri="{FF2B5EF4-FFF2-40B4-BE49-F238E27FC236}">
              <a16:creationId xmlns:a16="http://schemas.microsoft.com/office/drawing/2014/main" id="{00000000-0008-0000-0A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1438275</xdr:colOff>
      <xdr:row>52</xdr:row>
      <xdr:rowOff>95250</xdr:rowOff>
    </xdr:to>
    <xdr:sp macro="" textlink="">
      <xdr:nvSpPr>
        <xdr:cNvPr id="21517" name="202" hidden="1">
          <a:extLst>
            <a:ext uri="{FF2B5EF4-FFF2-40B4-BE49-F238E27FC236}">
              <a16:creationId xmlns:a16="http://schemas.microsoft.com/office/drawing/2014/main" id="{00000000-0008-0000-0B00-00000D5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 name="202" hidden="1">
          <a:extLst>
            <a:ext uri="{FF2B5EF4-FFF2-40B4-BE49-F238E27FC236}">
              <a16:creationId xmlns:a16="http://schemas.microsoft.com/office/drawing/2014/main" id="{00000000-0008-0000-0B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 name="202" hidden="1">
          <a:extLst>
            <a:ext uri="{FF2B5EF4-FFF2-40B4-BE49-F238E27FC236}">
              <a16:creationId xmlns:a16="http://schemas.microsoft.com/office/drawing/2014/main" id="{00000000-0008-0000-0B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4" name="202" hidden="1">
          <a:extLst>
            <a:ext uri="{FF2B5EF4-FFF2-40B4-BE49-F238E27FC236}">
              <a16:creationId xmlns:a16="http://schemas.microsoft.com/office/drawing/2014/main" id="{00000000-0008-0000-0B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342900</xdr:colOff>
      <xdr:row>38</xdr:row>
      <xdr:rowOff>121920</xdr:rowOff>
    </xdr:to>
    <xdr:sp macro="" textlink="">
      <xdr:nvSpPr>
        <xdr:cNvPr id="5" name="202" hidden="1">
          <a:extLst>
            <a:ext uri="{FF2B5EF4-FFF2-40B4-BE49-F238E27FC236}">
              <a16:creationId xmlns:a16="http://schemas.microsoft.com/office/drawing/2014/main" id="{00000000-0008-0000-0B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342900</xdr:colOff>
      <xdr:row>38</xdr:row>
      <xdr:rowOff>121920</xdr:rowOff>
    </xdr:to>
    <xdr:sp macro="" textlink="">
      <xdr:nvSpPr>
        <xdr:cNvPr id="6" name="202" hidden="1">
          <a:extLst>
            <a:ext uri="{FF2B5EF4-FFF2-40B4-BE49-F238E27FC236}">
              <a16:creationId xmlns:a16="http://schemas.microsoft.com/office/drawing/2014/main" id="{00000000-0008-0000-0B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7" name="202" hidden="1">
          <a:extLst>
            <a:ext uri="{FF2B5EF4-FFF2-40B4-BE49-F238E27FC236}">
              <a16:creationId xmlns:a16="http://schemas.microsoft.com/office/drawing/2014/main" id="{00000000-0008-0000-0B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8" name="202" hidden="1">
          <a:extLst>
            <a:ext uri="{FF2B5EF4-FFF2-40B4-BE49-F238E27FC236}">
              <a16:creationId xmlns:a16="http://schemas.microsoft.com/office/drawing/2014/main" id="{00000000-0008-0000-0B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9" name="202" hidden="1">
          <a:extLst>
            <a:ext uri="{FF2B5EF4-FFF2-40B4-BE49-F238E27FC236}">
              <a16:creationId xmlns:a16="http://schemas.microsoft.com/office/drawing/2014/main" id="{00000000-0008-0000-0B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0" name="202" hidden="1">
          <a:extLst>
            <a:ext uri="{FF2B5EF4-FFF2-40B4-BE49-F238E27FC236}">
              <a16:creationId xmlns:a16="http://schemas.microsoft.com/office/drawing/2014/main" id="{00000000-0008-0000-0B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1" name="202" hidden="1">
          <a:extLst>
            <a:ext uri="{FF2B5EF4-FFF2-40B4-BE49-F238E27FC236}">
              <a16:creationId xmlns:a16="http://schemas.microsoft.com/office/drawing/2014/main" id="{00000000-0008-0000-0B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2" name="202" hidden="1">
          <a:extLst>
            <a:ext uri="{FF2B5EF4-FFF2-40B4-BE49-F238E27FC236}">
              <a16:creationId xmlns:a16="http://schemas.microsoft.com/office/drawing/2014/main" id="{00000000-0008-0000-0B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3" name="202" hidden="1">
          <a:extLst>
            <a:ext uri="{FF2B5EF4-FFF2-40B4-BE49-F238E27FC236}">
              <a16:creationId xmlns:a16="http://schemas.microsoft.com/office/drawing/2014/main" id="{00000000-0008-0000-0B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4" name="202" hidden="1">
          <a:extLst>
            <a:ext uri="{FF2B5EF4-FFF2-40B4-BE49-F238E27FC236}">
              <a16:creationId xmlns:a16="http://schemas.microsoft.com/office/drawing/2014/main" id="{00000000-0008-0000-0B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5" name="202" hidden="1">
          <a:extLst>
            <a:ext uri="{FF2B5EF4-FFF2-40B4-BE49-F238E27FC236}">
              <a16:creationId xmlns:a16="http://schemas.microsoft.com/office/drawing/2014/main" id="{00000000-0008-0000-0B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6" name="202" hidden="1">
          <a:extLst>
            <a:ext uri="{FF2B5EF4-FFF2-40B4-BE49-F238E27FC236}">
              <a16:creationId xmlns:a16="http://schemas.microsoft.com/office/drawing/2014/main" id="{00000000-0008-0000-0B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7" name="202" hidden="1">
          <a:extLst>
            <a:ext uri="{FF2B5EF4-FFF2-40B4-BE49-F238E27FC236}">
              <a16:creationId xmlns:a16="http://schemas.microsoft.com/office/drawing/2014/main" id="{00000000-0008-0000-0B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8" name="202" hidden="1">
          <a:extLst>
            <a:ext uri="{FF2B5EF4-FFF2-40B4-BE49-F238E27FC236}">
              <a16:creationId xmlns:a16="http://schemas.microsoft.com/office/drawing/2014/main" id="{00000000-0008-0000-0B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9" name="202" hidden="1">
          <a:extLst>
            <a:ext uri="{FF2B5EF4-FFF2-40B4-BE49-F238E27FC236}">
              <a16:creationId xmlns:a16="http://schemas.microsoft.com/office/drawing/2014/main" id="{00000000-0008-0000-0B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0" name="202" hidden="1">
          <a:extLst>
            <a:ext uri="{FF2B5EF4-FFF2-40B4-BE49-F238E27FC236}">
              <a16:creationId xmlns:a16="http://schemas.microsoft.com/office/drawing/2014/main" id="{00000000-0008-0000-0B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1" name="202" hidden="1">
          <a:extLst>
            <a:ext uri="{FF2B5EF4-FFF2-40B4-BE49-F238E27FC236}">
              <a16:creationId xmlns:a16="http://schemas.microsoft.com/office/drawing/2014/main" id="{00000000-0008-0000-0B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2" name="202" hidden="1">
          <a:extLst>
            <a:ext uri="{FF2B5EF4-FFF2-40B4-BE49-F238E27FC236}">
              <a16:creationId xmlns:a16="http://schemas.microsoft.com/office/drawing/2014/main" id="{00000000-0008-0000-0B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3" name="202" hidden="1">
          <a:extLst>
            <a:ext uri="{FF2B5EF4-FFF2-40B4-BE49-F238E27FC236}">
              <a16:creationId xmlns:a16="http://schemas.microsoft.com/office/drawing/2014/main" id="{00000000-0008-0000-0B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4" name="202" hidden="1">
          <a:extLst>
            <a:ext uri="{FF2B5EF4-FFF2-40B4-BE49-F238E27FC236}">
              <a16:creationId xmlns:a16="http://schemas.microsoft.com/office/drawing/2014/main" id="{00000000-0008-0000-0B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5" name="202" hidden="1">
          <a:extLst>
            <a:ext uri="{FF2B5EF4-FFF2-40B4-BE49-F238E27FC236}">
              <a16:creationId xmlns:a16="http://schemas.microsoft.com/office/drawing/2014/main" id="{00000000-0008-0000-0B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6" name="202" hidden="1">
          <a:extLst>
            <a:ext uri="{FF2B5EF4-FFF2-40B4-BE49-F238E27FC236}">
              <a16:creationId xmlns:a16="http://schemas.microsoft.com/office/drawing/2014/main" id="{00000000-0008-0000-0B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7" name="202" hidden="1">
          <a:extLst>
            <a:ext uri="{FF2B5EF4-FFF2-40B4-BE49-F238E27FC236}">
              <a16:creationId xmlns:a16="http://schemas.microsoft.com/office/drawing/2014/main" id="{00000000-0008-0000-0B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8" name="202" hidden="1">
          <a:extLst>
            <a:ext uri="{FF2B5EF4-FFF2-40B4-BE49-F238E27FC236}">
              <a16:creationId xmlns:a16="http://schemas.microsoft.com/office/drawing/2014/main" id="{00000000-0008-0000-0B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9" name="202" hidden="1">
          <a:extLst>
            <a:ext uri="{FF2B5EF4-FFF2-40B4-BE49-F238E27FC236}">
              <a16:creationId xmlns:a16="http://schemas.microsoft.com/office/drawing/2014/main" id="{00000000-0008-0000-0B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0" name="202" hidden="1">
          <a:extLst>
            <a:ext uri="{FF2B5EF4-FFF2-40B4-BE49-F238E27FC236}">
              <a16:creationId xmlns:a16="http://schemas.microsoft.com/office/drawing/2014/main" id="{00000000-0008-0000-0B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1" name="202" hidden="1">
          <a:extLst>
            <a:ext uri="{FF2B5EF4-FFF2-40B4-BE49-F238E27FC236}">
              <a16:creationId xmlns:a16="http://schemas.microsoft.com/office/drawing/2014/main" id="{00000000-0008-0000-0B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2" name="202" hidden="1">
          <a:extLst>
            <a:ext uri="{FF2B5EF4-FFF2-40B4-BE49-F238E27FC236}">
              <a16:creationId xmlns:a16="http://schemas.microsoft.com/office/drawing/2014/main" id="{00000000-0008-0000-0B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12</xdr:row>
      <xdr:rowOff>0</xdr:rowOff>
    </xdr:to>
    <xdr:sp macro="" textlink="">
      <xdr:nvSpPr>
        <xdr:cNvPr id="17419" name="202" hidden="1">
          <a:extLst>
            <a:ext uri="{FF2B5EF4-FFF2-40B4-BE49-F238E27FC236}">
              <a16:creationId xmlns:a16="http://schemas.microsoft.com/office/drawing/2014/main" id="{00000000-0008-0000-0C00-00000B4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2" name="202" hidden="1">
          <a:extLst>
            <a:ext uri="{FF2B5EF4-FFF2-40B4-BE49-F238E27FC236}">
              <a16:creationId xmlns:a16="http://schemas.microsoft.com/office/drawing/2014/main" id="{00000000-0008-0000-0C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3" name="202" hidden="1">
          <a:extLst>
            <a:ext uri="{FF2B5EF4-FFF2-40B4-BE49-F238E27FC236}">
              <a16:creationId xmlns:a16="http://schemas.microsoft.com/office/drawing/2014/main" id="{00000000-0008-0000-0C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4" name="202" hidden="1">
          <a:extLst>
            <a:ext uri="{FF2B5EF4-FFF2-40B4-BE49-F238E27FC236}">
              <a16:creationId xmlns:a16="http://schemas.microsoft.com/office/drawing/2014/main" id="{00000000-0008-0000-0C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33</xdr:row>
      <xdr:rowOff>121920</xdr:rowOff>
    </xdr:to>
    <xdr:sp macro="" textlink="">
      <xdr:nvSpPr>
        <xdr:cNvPr id="5" name="202" hidden="1">
          <a:extLst>
            <a:ext uri="{FF2B5EF4-FFF2-40B4-BE49-F238E27FC236}">
              <a16:creationId xmlns:a16="http://schemas.microsoft.com/office/drawing/2014/main" id="{00000000-0008-0000-0C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33</xdr:row>
      <xdr:rowOff>121920</xdr:rowOff>
    </xdr:to>
    <xdr:sp macro="" textlink="">
      <xdr:nvSpPr>
        <xdr:cNvPr id="6" name="202" hidden="1">
          <a:extLst>
            <a:ext uri="{FF2B5EF4-FFF2-40B4-BE49-F238E27FC236}">
              <a16:creationId xmlns:a16="http://schemas.microsoft.com/office/drawing/2014/main" id="{00000000-0008-0000-0C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7" name="202" hidden="1">
          <a:extLst>
            <a:ext uri="{FF2B5EF4-FFF2-40B4-BE49-F238E27FC236}">
              <a16:creationId xmlns:a16="http://schemas.microsoft.com/office/drawing/2014/main" id="{00000000-0008-0000-0C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8" name="202" hidden="1">
          <a:extLst>
            <a:ext uri="{FF2B5EF4-FFF2-40B4-BE49-F238E27FC236}">
              <a16:creationId xmlns:a16="http://schemas.microsoft.com/office/drawing/2014/main" id="{00000000-0008-0000-0C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9" name="202" hidden="1">
          <a:extLst>
            <a:ext uri="{FF2B5EF4-FFF2-40B4-BE49-F238E27FC236}">
              <a16:creationId xmlns:a16="http://schemas.microsoft.com/office/drawing/2014/main" id="{00000000-0008-0000-0C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10" name="202" hidden="1">
          <a:extLst>
            <a:ext uri="{FF2B5EF4-FFF2-40B4-BE49-F238E27FC236}">
              <a16:creationId xmlns:a16="http://schemas.microsoft.com/office/drawing/2014/main" id="{00000000-0008-0000-0C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11" name="202" hidden="1">
          <a:extLst>
            <a:ext uri="{FF2B5EF4-FFF2-40B4-BE49-F238E27FC236}">
              <a16:creationId xmlns:a16="http://schemas.microsoft.com/office/drawing/2014/main" id="{00000000-0008-0000-0C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12" name="202" hidden="1">
          <a:extLst>
            <a:ext uri="{FF2B5EF4-FFF2-40B4-BE49-F238E27FC236}">
              <a16:creationId xmlns:a16="http://schemas.microsoft.com/office/drawing/2014/main" id="{00000000-0008-0000-0C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13" name="202" hidden="1">
          <a:extLst>
            <a:ext uri="{FF2B5EF4-FFF2-40B4-BE49-F238E27FC236}">
              <a16:creationId xmlns:a16="http://schemas.microsoft.com/office/drawing/2014/main" id="{00000000-0008-0000-0C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14" name="202" hidden="1">
          <a:extLst>
            <a:ext uri="{FF2B5EF4-FFF2-40B4-BE49-F238E27FC236}">
              <a16:creationId xmlns:a16="http://schemas.microsoft.com/office/drawing/2014/main" id="{00000000-0008-0000-0C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7415" name="202" hidden="1">
          <a:extLst>
            <a:ext uri="{FF2B5EF4-FFF2-40B4-BE49-F238E27FC236}">
              <a16:creationId xmlns:a16="http://schemas.microsoft.com/office/drawing/2014/main" id="{00000000-0008-0000-0C00-0000074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5" name="202" hidden="1">
          <a:extLst>
            <a:ext uri="{FF2B5EF4-FFF2-40B4-BE49-F238E27FC236}">
              <a16:creationId xmlns:a16="http://schemas.microsoft.com/office/drawing/2014/main" id="{00000000-0008-0000-0C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6" name="202" hidden="1">
          <a:extLst>
            <a:ext uri="{FF2B5EF4-FFF2-40B4-BE49-F238E27FC236}">
              <a16:creationId xmlns:a16="http://schemas.microsoft.com/office/drawing/2014/main" id="{00000000-0008-0000-0C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7" name="202" hidden="1">
          <a:extLst>
            <a:ext uri="{FF2B5EF4-FFF2-40B4-BE49-F238E27FC236}">
              <a16:creationId xmlns:a16="http://schemas.microsoft.com/office/drawing/2014/main" id="{00000000-0008-0000-0C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8" name="202" hidden="1">
          <a:extLst>
            <a:ext uri="{FF2B5EF4-FFF2-40B4-BE49-F238E27FC236}">
              <a16:creationId xmlns:a16="http://schemas.microsoft.com/office/drawing/2014/main" id="{00000000-0008-0000-0C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9" name="202" hidden="1">
          <a:extLst>
            <a:ext uri="{FF2B5EF4-FFF2-40B4-BE49-F238E27FC236}">
              <a16:creationId xmlns:a16="http://schemas.microsoft.com/office/drawing/2014/main" id="{00000000-0008-0000-0C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0" name="202" hidden="1">
          <a:extLst>
            <a:ext uri="{FF2B5EF4-FFF2-40B4-BE49-F238E27FC236}">
              <a16:creationId xmlns:a16="http://schemas.microsoft.com/office/drawing/2014/main" id="{00000000-0008-0000-0C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1" name="202" hidden="1">
          <a:extLst>
            <a:ext uri="{FF2B5EF4-FFF2-40B4-BE49-F238E27FC236}">
              <a16:creationId xmlns:a16="http://schemas.microsoft.com/office/drawing/2014/main" id="{00000000-0008-0000-0C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2" name="202" hidden="1">
          <a:extLst>
            <a:ext uri="{FF2B5EF4-FFF2-40B4-BE49-F238E27FC236}">
              <a16:creationId xmlns:a16="http://schemas.microsoft.com/office/drawing/2014/main" id="{00000000-0008-0000-0C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3" name="202" hidden="1">
          <a:extLst>
            <a:ext uri="{FF2B5EF4-FFF2-40B4-BE49-F238E27FC236}">
              <a16:creationId xmlns:a16="http://schemas.microsoft.com/office/drawing/2014/main" id="{00000000-0008-0000-0C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4" name="202" hidden="1">
          <a:extLst>
            <a:ext uri="{FF2B5EF4-FFF2-40B4-BE49-F238E27FC236}">
              <a16:creationId xmlns:a16="http://schemas.microsoft.com/office/drawing/2014/main" id="{00000000-0008-0000-0C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5" name="202" hidden="1">
          <a:extLst>
            <a:ext uri="{FF2B5EF4-FFF2-40B4-BE49-F238E27FC236}">
              <a16:creationId xmlns:a16="http://schemas.microsoft.com/office/drawing/2014/main" id="{00000000-0008-0000-0C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6" name="202" hidden="1">
          <a:extLst>
            <a:ext uri="{FF2B5EF4-FFF2-40B4-BE49-F238E27FC236}">
              <a16:creationId xmlns:a16="http://schemas.microsoft.com/office/drawing/2014/main" id="{00000000-0008-0000-0C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7" name="202" hidden="1">
          <a:extLst>
            <a:ext uri="{FF2B5EF4-FFF2-40B4-BE49-F238E27FC236}">
              <a16:creationId xmlns:a16="http://schemas.microsoft.com/office/drawing/2014/main" id="{00000000-0008-0000-0C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8" name="202" hidden="1">
          <a:extLst>
            <a:ext uri="{FF2B5EF4-FFF2-40B4-BE49-F238E27FC236}">
              <a16:creationId xmlns:a16="http://schemas.microsoft.com/office/drawing/2014/main" id="{00000000-0008-0000-0C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9" name="202" hidden="1">
          <a:extLst>
            <a:ext uri="{FF2B5EF4-FFF2-40B4-BE49-F238E27FC236}">
              <a16:creationId xmlns:a16="http://schemas.microsoft.com/office/drawing/2014/main" id="{00000000-0008-0000-0C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30" name="202" hidden="1">
          <a:extLst>
            <a:ext uri="{FF2B5EF4-FFF2-40B4-BE49-F238E27FC236}">
              <a16:creationId xmlns:a16="http://schemas.microsoft.com/office/drawing/2014/main" id="{00000000-0008-0000-0C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31" name="202" hidden="1">
          <a:extLst>
            <a:ext uri="{FF2B5EF4-FFF2-40B4-BE49-F238E27FC236}">
              <a16:creationId xmlns:a16="http://schemas.microsoft.com/office/drawing/2014/main" id="{00000000-0008-0000-0C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609600</xdr:colOff>
      <xdr:row>31</xdr:row>
      <xdr:rowOff>0</xdr:rowOff>
    </xdr:to>
    <xdr:sp macro="" textlink="">
      <xdr:nvSpPr>
        <xdr:cNvPr id="14351" name="202" hidden="1">
          <a:extLst>
            <a:ext uri="{FF2B5EF4-FFF2-40B4-BE49-F238E27FC236}">
              <a16:creationId xmlns:a16="http://schemas.microsoft.com/office/drawing/2014/main" id="{00000000-0008-0000-0D00-00000F38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609600</xdr:colOff>
      <xdr:row>35</xdr:row>
      <xdr:rowOff>0</xdr:rowOff>
    </xdr:to>
    <xdr:sp macro="" textlink="">
      <xdr:nvSpPr>
        <xdr:cNvPr id="2" name="202" hidden="1">
          <a:extLst>
            <a:ext uri="{FF2B5EF4-FFF2-40B4-BE49-F238E27FC236}">
              <a16:creationId xmlns:a16="http://schemas.microsoft.com/office/drawing/2014/main" id="{00000000-0008-0000-0D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609600</xdr:colOff>
      <xdr:row>35</xdr:row>
      <xdr:rowOff>0</xdr:rowOff>
    </xdr:to>
    <xdr:sp macro="" textlink="">
      <xdr:nvSpPr>
        <xdr:cNvPr id="3" name="202" hidden="1">
          <a:extLst>
            <a:ext uri="{FF2B5EF4-FFF2-40B4-BE49-F238E27FC236}">
              <a16:creationId xmlns:a16="http://schemas.microsoft.com/office/drawing/2014/main" id="{00000000-0008-0000-0D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4" name="202" hidden="1">
          <a:extLst>
            <a:ext uri="{FF2B5EF4-FFF2-40B4-BE49-F238E27FC236}">
              <a16:creationId xmlns:a16="http://schemas.microsoft.com/office/drawing/2014/main" id="{00000000-0008-0000-0D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2628900</xdr:colOff>
      <xdr:row>35</xdr:row>
      <xdr:rowOff>0</xdr:rowOff>
    </xdr:to>
    <xdr:sp macro="" textlink="">
      <xdr:nvSpPr>
        <xdr:cNvPr id="5" name="202" hidden="1">
          <a:extLst>
            <a:ext uri="{FF2B5EF4-FFF2-40B4-BE49-F238E27FC236}">
              <a16:creationId xmlns:a16="http://schemas.microsoft.com/office/drawing/2014/main" id="{00000000-0008-0000-0D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2628900</xdr:colOff>
      <xdr:row>35</xdr:row>
      <xdr:rowOff>0</xdr:rowOff>
    </xdr:to>
    <xdr:sp macro="" textlink="">
      <xdr:nvSpPr>
        <xdr:cNvPr id="6" name="202" hidden="1">
          <a:extLst>
            <a:ext uri="{FF2B5EF4-FFF2-40B4-BE49-F238E27FC236}">
              <a16:creationId xmlns:a16="http://schemas.microsoft.com/office/drawing/2014/main" id="{00000000-0008-0000-0D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7" name="202" hidden="1">
          <a:extLst>
            <a:ext uri="{FF2B5EF4-FFF2-40B4-BE49-F238E27FC236}">
              <a16:creationId xmlns:a16="http://schemas.microsoft.com/office/drawing/2014/main" id="{00000000-0008-0000-0D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8" name="202" hidden="1">
          <a:extLst>
            <a:ext uri="{FF2B5EF4-FFF2-40B4-BE49-F238E27FC236}">
              <a16:creationId xmlns:a16="http://schemas.microsoft.com/office/drawing/2014/main" id="{00000000-0008-0000-0D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9" name="202" hidden="1">
          <a:extLst>
            <a:ext uri="{FF2B5EF4-FFF2-40B4-BE49-F238E27FC236}">
              <a16:creationId xmlns:a16="http://schemas.microsoft.com/office/drawing/2014/main" id="{00000000-0008-0000-0D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10" name="202" hidden="1">
          <a:extLst>
            <a:ext uri="{FF2B5EF4-FFF2-40B4-BE49-F238E27FC236}">
              <a16:creationId xmlns:a16="http://schemas.microsoft.com/office/drawing/2014/main" id="{00000000-0008-0000-0D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11" name="202" hidden="1">
          <a:extLst>
            <a:ext uri="{FF2B5EF4-FFF2-40B4-BE49-F238E27FC236}">
              <a16:creationId xmlns:a16="http://schemas.microsoft.com/office/drawing/2014/main" id="{00000000-0008-0000-0D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12" name="202" hidden="1">
          <a:extLst>
            <a:ext uri="{FF2B5EF4-FFF2-40B4-BE49-F238E27FC236}">
              <a16:creationId xmlns:a16="http://schemas.microsoft.com/office/drawing/2014/main" id="{00000000-0008-0000-0D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13" name="202" hidden="1">
          <a:extLst>
            <a:ext uri="{FF2B5EF4-FFF2-40B4-BE49-F238E27FC236}">
              <a16:creationId xmlns:a16="http://schemas.microsoft.com/office/drawing/2014/main" id="{00000000-0008-0000-0D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14" name="202" hidden="1">
          <a:extLst>
            <a:ext uri="{FF2B5EF4-FFF2-40B4-BE49-F238E27FC236}">
              <a16:creationId xmlns:a16="http://schemas.microsoft.com/office/drawing/2014/main" id="{00000000-0008-0000-0D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15" name="202" hidden="1">
          <a:extLst>
            <a:ext uri="{FF2B5EF4-FFF2-40B4-BE49-F238E27FC236}">
              <a16:creationId xmlns:a16="http://schemas.microsoft.com/office/drawing/2014/main" id="{00000000-0008-0000-0D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16" name="202" hidden="1">
          <a:extLst>
            <a:ext uri="{FF2B5EF4-FFF2-40B4-BE49-F238E27FC236}">
              <a16:creationId xmlns:a16="http://schemas.microsoft.com/office/drawing/2014/main" id="{00000000-0008-0000-0D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17" name="202" hidden="1">
          <a:extLst>
            <a:ext uri="{FF2B5EF4-FFF2-40B4-BE49-F238E27FC236}">
              <a16:creationId xmlns:a16="http://schemas.microsoft.com/office/drawing/2014/main" id="{00000000-0008-0000-0D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18" name="202" hidden="1">
          <a:extLst>
            <a:ext uri="{FF2B5EF4-FFF2-40B4-BE49-F238E27FC236}">
              <a16:creationId xmlns:a16="http://schemas.microsoft.com/office/drawing/2014/main" id="{00000000-0008-0000-0D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19" name="202" hidden="1">
          <a:extLst>
            <a:ext uri="{FF2B5EF4-FFF2-40B4-BE49-F238E27FC236}">
              <a16:creationId xmlns:a16="http://schemas.microsoft.com/office/drawing/2014/main" id="{00000000-0008-0000-0D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0" name="202" hidden="1">
          <a:extLst>
            <a:ext uri="{FF2B5EF4-FFF2-40B4-BE49-F238E27FC236}">
              <a16:creationId xmlns:a16="http://schemas.microsoft.com/office/drawing/2014/main" id="{00000000-0008-0000-0D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1" name="202" hidden="1">
          <a:extLst>
            <a:ext uri="{FF2B5EF4-FFF2-40B4-BE49-F238E27FC236}">
              <a16:creationId xmlns:a16="http://schemas.microsoft.com/office/drawing/2014/main" id="{00000000-0008-0000-0D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2" name="202" hidden="1">
          <a:extLst>
            <a:ext uri="{FF2B5EF4-FFF2-40B4-BE49-F238E27FC236}">
              <a16:creationId xmlns:a16="http://schemas.microsoft.com/office/drawing/2014/main" id="{00000000-0008-0000-0D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3" name="202" hidden="1">
          <a:extLst>
            <a:ext uri="{FF2B5EF4-FFF2-40B4-BE49-F238E27FC236}">
              <a16:creationId xmlns:a16="http://schemas.microsoft.com/office/drawing/2014/main" id="{00000000-0008-0000-0D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4" name="202" hidden="1">
          <a:extLst>
            <a:ext uri="{FF2B5EF4-FFF2-40B4-BE49-F238E27FC236}">
              <a16:creationId xmlns:a16="http://schemas.microsoft.com/office/drawing/2014/main" id="{00000000-0008-0000-0D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5" name="202" hidden="1">
          <a:extLst>
            <a:ext uri="{FF2B5EF4-FFF2-40B4-BE49-F238E27FC236}">
              <a16:creationId xmlns:a16="http://schemas.microsoft.com/office/drawing/2014/main" id="{00000000-0008-0000-0D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6" name="202" hidden="1">
          <a:extLst>
            <a:ext uri="{FF2B5EF4-FFF2-40B4-BE49-F238E27FC236}">
              <a16:creationId xmlns:a16="http://schemas.microsoft.com/office/drawing/2014/main" id="{00000000-0008-0000-0D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7" name="202" hidden="1">
          <a:extLst>
            <a:ext uri="{FF2B5EF4-FFF2-40B4-BE49-F238E27FC236}">
              <a16:creationId xmlns:a16="http://schemas.microsoft.com/office/drawing/2014/main" id="{00000000-0008-0000-0D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8" name="202" hidden="1">
          <a:extLst>
            <a:ext uri="{FF2B5EF4-FFF2-40B4-BE49-F238E27FC236}">
              <a16:creationId xmlns:a16="http://schemas.microsoft.com/office/drawing/2014/main" id="{00000000-0008-0000-0D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9" name="202" hidden="1">
          <a:extLst>
            <a:ext uri="{FF2B5EF4-FFF2-40B4-BE49-F238E27FC236}">
              <a16:creationId xmlns:a16="http://schemas.microsoft.com/office/drawing/2014/main" id="{00000000-0008-0000-0D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30" name="202" hidden="1">
          <a:extLst>
            <a:ext uri="{FF2B5EF4-FFF2-40B4-BE49-F238E27FC236}">
              <a16:creationId xmlns:a16="http://schemas.microsoft.com/office/drawing/2014/main" id="{00000000-0008-0000-0D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31" name="202" hidden="1">
          <a:extLst>
            <a:ext uri="{FF2B5EF4-FFF2-40B4-BE49-F238E27FC236}">
              <a16:creationId xmlns:a16="http://schemas.microsoft.com/office/drawing/2014/main" id="{00000000-0008-0000-0D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32" name="202" hidden="1">
          <a:extLst>
            <a:ext uri="{FF2B5EF4-FFF2-40B4-BE49-F238E27FC236}">
              <a16:creationId xmlns:a16="http://schemas.microsoft.com/office/drawing/2014/main" id="{00000000-0008-0000-0D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1181100</xdr:colOff>
      <xdr:row>51</xdr:row>
      <xdr:rowOff>76200</xdr:rowOff>
    </xdr:to>
    <xdr:sp macro="" textlink="">
      <xdr:nvSpPr>
        <xdr:cNvPr id="15386" name="202" hidden="1">
          <a:extLst>
            <a:ext uri="{FF2B5EF4-FFF2-40B4-BE49-F238E27FC236}">
              <a16:creationId xmlns:a16="http://schemas.microsoft.com/office/drawing/2014/main" id="{00000000-0008-0000-0E00-00001A3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 name="202" hidden="1">
          <a:extLst>
            <a:ext uri="{FF2B5EF4-FFF2-40B4-BE49-F238E27FC236}">
              <a16:creationId xmlns:a16="http://schemas.microsoft.com/office/drawing/2014/main" id="{00000000-0008-0000-0E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 name="202" hidden="1">
          <a:extLst>
            <a:ext uri="{FF2B5EF4-FFF2-40B4-BE49-F238E27FC236}">
              <a16:creationId xmlns:a16="http://schemas.microsoft.com/office/drawing/2014/main" id="{00000000-0008-0000-0E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4" name="202" hidden="1">
          <a:extLst>
            <a:ext uri="{FF2B5EF4-FFF2-40B4-BE49-F238E27FC236}">
              <a16:creationId xmlns:a16="http://schemas.microsoft.com/office/drawing/2014/main" id="{00000000-0008-0000-0E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114300</xdr:colOff>
      <xdr:row>36</xdr:row>
      <xdr:rowOff>121920</xdr:rowOff>
    </xdr:to>
    <xdr:sp macro="" textlink="">
      <xdr:nvSpPr>
        <xdr:cNvPr id="5" name="202" hidden="1">
          <a:extLst>
            <a:ext uri="{FF2B5EF4-FFF2-40B4-BE49-F238E27FC236}">
              <a16:creationId xmlns:a16="http://schemas.microsoft.com/office/drawing/2014/main" id="{00000000-0008-0000-0E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114300</xdr:colOff>
      <xdr:row>36</xdr:row>
      <xdr:rowOff>121920</xdr:rowOff>
    </xdr:to>
    <xdr:sp macro="" textlink="">
      <xdr:nvSpPr>
        <xdr:cNvPr id="6" name="202" hidden="1">
          <a:extLst>
            <a:ext uri="{FF2B5EF4-FFF2-40B4-BE49-F238E27FC236}">
              <a16:creationId xmlns:a16="http://schemas.microsoft.com/office/drawing/2014/main" id="{00000000-0008-0000-0E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7" name="202" hidden="1">
          <a:extLst>
            <a:ext uri="{FF2B5EF4-FFF2-40B4-BE49-F238E27FC236}">
              <a16:creationId xmlns:a16="http://schemas.microsoft.com/office/drawing/2014/main" id="{00000000-0008-0000-0E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8" name="202" hidden="1">
          <a:extLst>
            <a:ext uri="{FF2B5EF4-FFF2-40B4-BE49-F238E27FC236}">
              <a16:creationId xmlns:a16="http://schemas.microsoft.com/office/drawing/2014/main" id="{00000000-0008-0000-0E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9" name="202" hidden="1">
          <a:extLst>
            <a:ext uri="{FF2B5EF4-FFF2-40B4-BE49-F238E27FC236}">
              <a16:creationId xmlns:a16="http://schemas.microsoft.com/office/drawing/2014/main" id="{00000000-0008-0000-0E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0" name="202" hidden="1">
          <a:extLst>
            <a:ext uri="{FF2B5EF4-FFF2-40B4-BE49-F238E27FC236}">
              <a16:creationId xmlns:a16="http://schemas.microsoft.com/office/drawing/2014/main" id="{00000000-0008-0000-0E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1" name="202" hidden="1">
          <a:extLst>
            <a:ext uri="{FF2B5EF4-FFF2-40B4-BE49-F238E27FC236}">
              <a16:creationId xmlns:a16="http://schemas.microsoft.com/office/drawing/2014/main" id="{00000000-0008-0000-0E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2" name="202" hidden="1">
          <a:extLst>
            <a:ext uri="{FF2B5EF4-FFF2-40B4-BE49-F238E27FC236}">
              <a16:creationId xmlns:a16="http://schemas.microsoft.com/office/drawing/2014/main" id="{00000000-0008-0000-0E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3" name="202" hidden="1">
          <a:extLst>
            <a:ext uri="{FF2B5EF4-FFF2-40B4-BE49-F238E27FC236}">
              <a16:creationId xmlns:a16="http://schemas.microsoft.com/office/drawing/2014/main" id="{00000000-0008-0000-0E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4" name="202" hidden="1">
          <a:extLst>
            <a:ext uri="{FF2B5EF4-FFF2-40B4-BE49-F238E27FC236}">
              <a16:creationId xmlns:a16="http://schemas.microsoft.com/office/drawing/2014/main" id="{00000000-0008-0000-0E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5" name="202" hidden="1">
          <a:extLst>
            <a:ext uri="{FF2B5EF4-FFF2-40B4-BE49-F238E27FC236}">
              <a16:creationId xmlns:a16="http://schemas.microsoft.com/office/drawing/2014/main" id="{00000000-0008-0000-0E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6" name="202" hidden="1">
          <a:extLst>
            <a:ext uri="{FF2B5EF4-FFF2-40B4-BE49-F238E27FC236}">
              <a16:creationId xmlns:a16="http://schemas.microsoft.com/office/drawing/2014/main" id="{00000000-0008-0000-0E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7" name="202" hidden="1">
          <a:extLst>
            <a:ext uri="{FF2B5EF4-FFF2-40B4-BE49-F238E27FC236}">
              <a16:creationId xmlns:a16="http://schemas.microsoft.com/office/drawing/2014/main" id="{00000000-0008-0000-0E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8" name="202" hidden="1">
          <a:extLst>
            <a:ext uri="{FF2B5EF4-FFF2-40B4-BE49-F238E27FC236}">
              <a16:creationId xmlns:a16="http://schemas.microsoft.com/office/drawing/2014/main" id="{00000000-0008-0000-0E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9" name="202" hidden="1">
          <a:extLst>
            <a:ext uri="{FF2B5EF4-FFF2-40B4-BE49-F238E27FC236}">
              <a16:creationId xmlns:a16="http://schemas.microsoft.com/office/drawing/2014/main" id="{00000000-0008-0000-0E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0" name="202" hidden="1">
          <a:extLst>
            <a:ext uri="{FF2B5EF4-FFF2-40B4-BE49-F238E27FC236}">
              <a16:creationId xmlns:a16="http://schemas.microsoft.com/office/drawing/2014/main" id="{00000000-0008-0000-0E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1" name="202" hidden="1">
          <a:extLst>
            <a:ext uri="{FF2B5EF4-FFF2-40B4-BE49-F238E27FC236}">
              <a16:creationId xmlns:a16="http://schemas.microsoft.com/office/drawing/2014/main" id="{00000000-0008-0000-0E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2" name="202" hidden="1">
          <a:extLst>
            <a:ext uri="{FF2B5EF4-FFF2-40B4-BE49-F238E27FC236}">
              <a16:creationId xmlns:a16="http://schemas.microsoft.com/office/drawing/2014/main" id="{00000000-0008-0000-0E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3" name="202" hidden="1">
          <a:extLst>
            <a:ext uri="{FF2B5EF4-FFF2-40B4-BE49-F238E27FC236}">
              <a16:creationId xmlns:a16="http://schemas.microsoft.com/office/drawing/2014/main" id="{00000000-0008-0000-0E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4" name="202" hidden="1">
          <a:extLst>
            <a:ext uri="{FF2B5EF4-FFF2-40B4-BE49-F238E27FC236}">
              <a16:creationId xmlns:a16="http://schemas.microsoft.com/office/drawing/2014/main" id="{00000000-0008-0000-0E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5" name="202" hidden="1">
          <a:extLst>
            <a:ext uri="{FF2B5EF4-FFF2-40B4-BE49-F238E27FC236}">
              <a16:creationId xmlns:a16="http://schemas.microsoft.com/office/drawing/2014/main" id="{00000000-0008-0000-0E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6" name="202" hidden="1">
          <a:extLst>
            <a:ext uri="{FF2B5EF4-FFF2-40B4-BE49-F238E27FC236}">
              <a16:creationId xmlns:a16="http://schemas.microsoft.com/office/drawing/2014/main" id="{00000000-0008-0000-0E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7" name="202" hidden="1">
          <a:extLst>
            <a:ext uri="{FF2B5EF4-FFF2-40B4-BE49-F238E27FC236}">
              <a16:creationId xmlns:a16="http://schemas.microsoft.com/office/drawing/2014/main" id="{00000000-0008-0000-0E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8" name="202" hidden="1">
          <a:extLst>
            <a:ext uri="{FF2B5EF4-FFF2-40B4-BE49-F238E27FC236}">
              <a16:creationId xmlns:a16="http://schemas.microsoft.com/office/drawing/2014/main" id="{00000000-0008-0000-0E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9" name="202" hidden="1">
          <a:extLst>
            <a:ext uri="{FF2B5EF4-FFF2-40B4-BE49-F238E27FC236}">
              <a16:creationId xmlns:a16="http://schemas.microsoft.com/office/drawing/2014/main" id="{00000000-0008-0000-0E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0" name="202" hidden="1">
          <a:extLst>
            <a:ext uri="{FF2B5EF4-FFF2-40B4-BE49-F238E27FC236}">
              <a16:creationId xmlns:a16="http://schemas.microsoft.com/office/drawing/2014/main" id="{00000000-0008-0000-0E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1" name="202" hidden="1">
          <a:extLst>
            <a:ext uri="{FF2B5EF4-FFF2-40B4-BE49-F238E27FC236}">
              <a16:creationId xmlns:a16="http://schemas.microsoft.com/office/drawing/2014/main" id="{00000000-0008-0000-0E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2" name="202" hidden="1">
          <a:extLst>
            <a:ext uri="{FF2B5EF4-FFF2-40B4-BE49-F238E27FC236}">
              <a16:creationId xmlns:a16="http://schemas.microsoft.com/office/drawing/2014/main" id="{00000000-0008-0000-0E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400050</xdr:colOff>
      <xdr:row>50</xdr:row>
      <xdr:rowOff>0</xdr:rowOff>
    </xdr:to>
    <xdr:sp macro="" textlink="">
      <xdr:nvSpPr>
        <xdr:cNvPr id="16405" name="202" hidden="1">
          <a:extLst>
            <a:ext uri="{FF2B5EF4-FFF2-40B4-BE49-F238E27FC236}">
              <a16:creationId xmlns:a16="http://schemas.microsoft.com/office/drawing/2014/main" id="{00000000-0008-0000-0F00-0000154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400050</xdr:colOff>
      <xdr:row>44</xdr:row>
      <xdr:rowOff>76200</xdr:rowOff>
    </xdr:to>
    <xdr:sp macro="" textlink="">
      <xdr:nvSpPr>
        <xdr:cNvPr id="2" name="202" hidden="1">
          <a:extLst>
            <a:ext uri="{FF2B5EF4-FFF2-40B4-BE49-F238E27FC236}">
              <a16:creationId xmlns:a16="http://schemas.microsoft.com/office/drawing/2014/main" id="{00000000-0008-0000-0F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0</xdr:colOff>
      <xdr:row>43</xdr:row>
      <xdr:rowOff>85725</xdr:rowOff>
    </xdr:to>
    <xdr:sp macro="" textlink="">
      <xdr:nvSpPr>
        <xdr:cNvPr id="3" name="202" hidden="1">
          <a:extLst>
            <a:ext uri="{FF2B5EF4-FFF2-40B4-BE49-F238E27FC236}">
              <a16:creationId xmlns:a16="http://schemas.microsoft.com/office/drawing/2014/main" id="{00000000-0008-0000-0F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0</xdr:colOff>
      <xdr:row>48</xdr:row>
      <xdr:rowOff>85725</xdr:rowOff>
    </xdr:to>
    <xdr:sp macro="" textlink="">
      <xdr:nvSpPr>
        <xdr:cNvPr id="4" name="202" hidden="1">
          <a:extLst>
            <a:ext uri="{FF2B5EF4-FFF2-40B4-BE49-F238E27FC236}">
              <a16:creationId xmlns:a16="http://schemas.microsoft.com/office/drawing/2014/main" id="{00000000-0008-0000-0F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35</xdr:row>
      <xdr:rowOff>167640</xdr:rowOff>
    </xdr:to>
    <xdr:sp macro="" textlink="">
      <xdr:nvSpPr>
        <xdr:cNvPr id="5" name="202" hidden="1">
          <a:extLst>
            <a:ext uri="{FF2B5EF4-FFF2-40B4-BE49-F238E27FC236}">
              <a16:creationId xmlns:a16="http://schemas.microsoft.com/office/drawing/2014/main" id="{00000000-0008-0000-0F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35</xdr:row>
      <xdr:rowOff>167640</xdr:rowOff>
    </xdr:to>
    <xdr:sp macro="" textlink="">
      <xdr:nvSpPr>
        <xdr:cNvPr id="6" name="202" hidden="1">
          <a:extLst>
            <a:ext uri="{FF2B5EF4-FFF2-40B4-BE49-F238E27FC236}">
              <a16:creationId xmlns:a16="http://schemas.microsoft.com/office/drawing/2014/main" id="{00000000-0008-0000-0F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0</xdr:colOff>
      <xdr:row>53</xdr:row>
      <xdr:rowOff>0</xdr:rowOff>
    </xdr:to>
    <xdr:sp macro="" textlink="">
      <xdr:nvSpPr>
        <xdr:cNvPr id="7" name="202" hidden="1">
          <a:extLst>
            <a:ext uri="{FF2B5EF4-FFF2-40B4-BE49-F238E27FC236}">
              <a16:creationId xmlns:a16="http://schemas.microsoft.com/office/drawing/2014/main" id="{00000000-0008-0000-0F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0</xdr:colOff>
      <xdr:row>53</xdr:row>
      <xdr:rowOff>0</xdr:rowOff>
    </xdr:to>
    <xdr:sp macro="" textlink="">
      <xdr:nvSpPr>
        <xdr:cNvPr id="8" name="202" hidden="1">
          <a:extLst>
            <a:ext uri="{FF2B5EF4-FFF2-40B4-BE49-F238E27FC236}">
              <a16:creationId xmlns:a16="http://schemas.microsoft.com/office/drawing/2014/main" id="{00000000-0008-0000-0F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9" name="202" hidden="1">
          <a:extLst>
            <a:ext uri="{FF2B5EF4-FFF2-40B4-BE49-F238E27FC236}">
              <a16:creationId xmlns:a16="http://schemas.microsoft.com/office/drawing/2014/main" id="{00000000-0008-0000-0F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10" name="202" hidden="1">
          <a:extLst>
            <a:ext uri="{FF2B5EF4-FFF2-40B4-BE49-F238E27FC236}">
              <a16:creationId xmlns:a16="http://schemas.microsoft.com/office/drawing/2014/main" id="{00000000-0008-0000-0F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11" name="202" hidden="1">
          <a:extLst>
            <a:ext uri="{FF2B5EF4-FFF2-40B4-BE49-F238E27FC236}">
              <a16:creationId xmlns:a16="http://schemas.microsoft.com/office/drawing/2014/main" id="{00000000-0008-0000-0F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12" name="202" hidden="1">
          <a:extLst>
            <a:ext uri="{FF2B5EF4-FFF2-40B4-BE49-F238E27FC236}">
              <a16:creationId xmlns:a16="http://schemas.microsoft.com/office/drawing/2014/main" id="{00000000-0008-0000-0F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13" name="202" hidden="1">
          <a:extLst>
            <a:ext uri="{FF2B5EF4-FFF2-40B4-BE49-F238E27FC236}">
              <a16:creationId xmlns:a16="http://schemas.microsoft.com/office/drawing/2014/main" id="{00000000-0008-0000-0F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14" name="202" hidden="1">
          <a:extLst>
            <a:ext uri="{FF2B5EF4-FFF2-40B4-BE49-F238E27FC236}">
              <a16:creationId xmlns:a16="http://schemas.microsoft.com/office/drawing/2014/main" id="{00000000-0008-0000-0F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15" name="202" hidden="1">
          <a:extLst>
            <a:ext uri="{FF2B5EF4-FFF2-40B4-BE49-F238E27FC236}">
              <a16:creationId xmlns:a16="http://schemas.microsoft.com/office/drawing/2014/main" id="{00000000-0008-0000-0F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43</xdr:row>
      <xdr:rowOff>123825</xdr:rowOff>
    </xdr:to>
    <xdr:sp macro="" textlink="">
      <xdr:nvSpPr>
        <xdr:cNvPr id="16" name="202" hidden="1">
          <a:extLst>
            <a:ext uri="{FF2B5EF4-FFF2-40B4-BE49-F238E27FC236}">
              <a16:creationId xmlns:a16="http://schemas.microsoft.com/office/drawing/2014/main" id="{00000000-0008-0000-0F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17" name="202" hidden="1">
          <a:extLst>
            <a:ext uri="{FF2B5EF4-FFF2-40B4-BE49-F238E27FC236}">
              <a16:creationId xmlns:a16="http://schemas.microsoft.com/office/drawing/2014/main" id="{00000000-0008-0000-0F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18" name="202" hidden="1">
          <a:extLst>
            <a:ext uri="{FF2B5EF4-FFF2-40B4-BE49-F238E27FC236}">
              <a16:creationId xmlns:a16="http://schemas.microsoft.com/office/drawing/2014/main" id="{00000000-0008-0000-0F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19" name="202" hidden="1">
          <a:extLst>
            <a:ext uri="{FF2B5EF4-FFF2-40B4-BE49-F238E27FC236}">
              <a16:creationId xmlns:a16="http://schemas.microsoft.com/office/drawing/2014/main" id="{00000000-0008-0000-0F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20" name="202" hidden="1">
          <a:extLst>
            <a:ext uri="{FF2B5EF4-FFF2-40B4-BE49-F238E27FC236}">
              <a16:creationId xmlns:a16="http://schemas.microsoft.com/office/drawing/2014/main" id="{00000000-0008-0000-0F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21" name="202" hidden="1">
          <a:extLst>
            <a:ext uri="{FF2B5EF4-FFF2-40B4-BE49-F238E27FC236}">
              <a16:creationId xmlns:a16="http://schemas.microsoft.com/office/drawing/2014/main" id="{00000000-0008-0000-0F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22" name="202" hidden="1">
          <a:extLst>
            <a:ext uri="{FF2B5EF4-FFF2-40B4-BE49-F238E27FC236}">
              <a16:creationId xmlns:a16="http://schemas.microsoft.com/office/drawing/2014/main" id="{00000000-0008-0000-0F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16414" name="202" hidden="1">
          <a:extLst>
            <a:ext uri="{FF2B5EF4-FFF2-40B4-BE49-F238E27FC236}">
              <a16:creationId xmlns:a16="http://schemas.microsoft.com/office/drawing/2014/main" id="{00000000-0008-0000-0F00-00001E4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3" name="202" hidden="1">
          <a:extLst>
            <a:ext uri="{FF2B5EF4-FFF2-40B4-BE49-F238E27FC236}">
              <a16:creationId xmlns:a16="http://schemas.microsoft.com/office/drawing/2014/main" id="{00000000-0008-0000-0F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4" name="202" hidden="1">
          <a:extLst>
            <a:ext uri="{FF2B5EF4-FFF2-40B4-BE49-F238E27FC236}">
              <a16:creationId xmlns:a16="http://schemas.microsoft.com/office/drawing/2014/main" id="{00000000-0008-0000-0F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5" name="202" hidden="1">
          <a:extLst>
            <a:ext uri="{FF2B5EF4-FFF2-40B4-BE49-F238E27FC236}">
              <a16:creationId xmlns:a16="http://schemas.microsoft.com/office/drawing/2014/main" id="{00000000-0008-0000-0F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6" name="202" hidden="1">
          <a:extLst>
            <a:ext uri="{FF2B5EF4-FFF2-40B4-BE49-F238E27FC236}">
              <a16:creationId xmlns:a16="http://schemas.microsoft.com/office/drawing/2014/main" id="{00000000-0008-0000-0F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7" name="202" hidden="1">
          <a:extLst>
            <a:ext uri="{FF2B5EF4-FFF2-40B4-BE49-F238E27FC236}">
              <a16:creationId xmlns:a16="http://schemas.microsoft.com/office/drawing/2014/main" id="{00000000-0008-0000-0F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8" name="202" hidden="1">
          <a:extLst>
            <a:ext uri="{FF2B5EF4-FFF2-40B4-BE49-F238E27FC236}">
              <a16:creationId xmlns:a16="http://schemas.microsoft.com/office/drawing/2014/main" id="{00000000-0008-0000-0F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16416" name="202" hidden="1">
          <a:extLst>
            <a:ext uri="{FF2B5EF4-FFF2-40B4-BE49-F238E27FC236}">
              <a16:creationId xmlns:a16="http://schemas.microsoft.com/office/drawing/2014/main" id="{00000000-0008-0000-0F00-0000204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9" name="202" hidden="1">
          <a:extLst>
            <a:ext uri="{FF2B5EF4-FFF2-40B4-BE49-F238E27FC236}">
              <a16:creationId xmlns:a16="http://schemas.microsoft.com/office/drawing/2014/main" id="{00000000-0008-0000-0F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16434" name="202" hidden="1">
          <a:extLst>
            <a:ext uri="{FF2B5EF4-FFF2-40B4-BE49-F238E27FC236}">
              <a16:creationId xmlns:a16="http://schemas.microsoft.com/office/drawing/2014/main" id="{00000000-0008-0000-0F00-0000324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581025</xdr:colOff>
      <xdr:row>61</xdr:row>
      <xdr:rowOff>0</xdr:rowOff>
    </xdr:to>
    <xdr:sp macro="" textlink="">
      <xdr:nvSpPr>
        <xdr:cNvPr id="44037" name="202" hidden="1">
          <a:extLst>
            <a:ext uri="{FF2B5EF4-FFF2-40B4-BE49-F238E27FC236}">
              <a16:creationId xmlns:a16="http://schemas.microsoft.com/office/drawing/2014/main" id="{00000000-0008-0000-1000-000005A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581025</xdr:colOff>
      <xdr:row>61</xdr:row>
      <xdr:rowOff>0</xdr:rowOff>
    </xdr:to>
    <xdr:sp macro="" textlink="">
      <xdr:nvSpPr>
        <xdr:cNvPr id="2" name="202" hidden="1">
          <a:extLst>
            <a:ext uri="{FF2B5EF4-FFF2-40B4-BE49-F238E27FC236}">
              <a16:creationId xmlns:a16="http://schemas.microsoft.com/office/drawing/2014/main" id="{00000000-0008-0000-10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581025</xdr:colOff>
      <xdr:row>61</xdr:row>
      <xdr:rowOff>0</xdr:rowOff>
    </xdr:to>
    <xdr:sp macro="" textlink="">
      <xdr:nvSpPr>
        <xdr:cNvPr id="3" name="202" hidden="1">
          <a:extLst>
            <a:ext uri="{FF2B5EF4-FFF2-40B4-BE49-F238E27FC236}">
              <a16:creationId xmlns:a16="http://schemas.microsoft.com/office/drawing/2014/main" id="{00000000-0008-0000-10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61</xdr:row>
      <xdr:rowOff>0</xdr:rowOff>
    </xdr:to>
    <xdr:sp macro="" textlink="">
      <xdr:nvSpPr>
        <xdr:cNvPr id="4" name="202" hidden="1">
          <a:extLst>
            <a:ext uri="{FF2B5EF4-FFF2-40B4-BE49-F238E27FC236}">
              <a16:creationId xmlns:a16="http://schemas.microsoft.com/office/drawing/2014/main" id="{00000000-0008-0000-10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419100</xdr:colOff>
      <xdr:row>37</xdr:row>
      <xdr:rowOff>45720</xdr:rowOff>
    </xdr:to>
    <xdr:sp macro="" textlink="">
      <xdr:nvSpPr>
        <xdr:cNvPr id="5" name="202" hidden="1">
          <a:extLst>
            <a:ext uri="{FF2B5EF4-FFF2-40B4-BE49-F238E27FC236}">
              <a16:creationId xmlns:a16="http://schemas.microsoft.com/office/drawing/2014/main" id="{00000000-0008-0000-10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419100</xdr:colOff>
      <xdr:row>37</xdr:row>
      <xdr:rowOff>45720</xdr:rowOff>
    </xdr:to>
    <xdr:sp macro="" textlink="">
      <xdr:nvSpPr>
        <xdr:cNvPr id="6" name="202" hidden="1">
          <a:extLst>
            <a:ext uri="{FF2B5EF4-FFF2-40B4-BE49-F238E27FC236}">
              <a16:creationId xmlns:a16="http://schemas.microsoft.com/office/drawing/2014/main" id="{00000000-0008-0000-10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61</xdr:row>
      <xdr:rowOff>0</xdr:rowOff>
    </xdr:to>
    <xdr:sp macro="" textlink="">
      <xdr:nvSpPr>
        <xdr:cNvPr id="7" name="202" hidden="1">
          <a:extLst>
            <a:ext uri="{FF2B5EF4-FFF2-40B4-BE49-F238E27FC236}">
              <a16:creationId xmlns:a16="http://schemas.microsoft.com/office/drawing/2014/main" id="{00000000-0008-0000-10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61</xdr:row>
      <xdr:rowOff>0</xdr:rowOff>
    </xdr:to>
    <xdr:sp macro="" textlink="">
      <xdr:nvSpPr>
        <xdr:cNvPr id="8" name="202" hidden="1">
          <a:extLst>
            <a:ext uri="{FF2B5EF4-FFF2-40B4-BE49-F238E27FC236}">
              <a16:creationId xmlns:a16="http://schemas.microsoft.com/office/drawing/2014/main" id="{00000000-0008-0000-10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61</xdr:row>
      <xdr:rowOff>0</xdr:rowOff>
    </xdr:to>
    <xdr:sp macro="" textlink="">
      <xdr:nvSpPr>
        <xdr:cNvPr id="9" name="202" hidden="1">
          <a:extLst>
            <a:ext uri="{FF2B5EF4-FFF2-40B4-BE49-F238E27FC236}">
              <a16:creationId xmlns:a16="http://schemas.microsoft.com/office/drawing/2014/main" id="{00000000-0008-0000-10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51</xdr:row>
      <xdr:rowOff>95250</xdr:rowOff>
    </xdr:to>
    <xdr:sp macro="" textlink="">
      <xdr:nvSpPr>
        <xdr:cNvPr id="10" name="202" hidden="1">
          <a:extLst>
            <a:ext uri="{FF2B5EF4-FFF2-40B4-BE49-F238E27FC236}">
              <a16:creationId xmlns:a16="http://schemas.microsoft.com/office/drawing/2014/main" id="{00000000-0008-0000-10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51</xdr:row>
      <xdr:rowOff>95250</xdr:rowOff>
    </xdr:to>
    <xdr:sp macro="" textlink="">
      <xdr:nvSpPr>
        <xdr:cNvPr id="11" name="202" hidden="1">
          <a:extLst>
            <a:ext uri="{FF2B5EF4-FFF2-40B4-BE49-F238E27FC236}">
              <a16:creationId xmlns:a16="http://schemas.microsoft.com/office/drawing/2014/main" id="{00000000-0008-0000-10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51</xdr:row>
      <xdr:rowOff>95250</xdr:rowOff>
    </xdr:to>
    <xdr:sp macro="" textlink="">
      <xdr:nvSpPr>
        <xdr:cNvPr id="12" name="202" hidden="1">
          <a:extLst>
            <a:ext uri="{FF2B5EF4-FFF2-40B4-BE49-F238E27FC236}">
              <a16:creationId xmlns:a16="http://schemas.microsoft.com/office/drawing/2014/main" id="{00000000-0008-0000-10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51</xdr:row>
      <xdr:rowOff>95250</xdr:rowOff>
    </xdr:to>
    <xdr:sp macro="" textlink="">
      <xdr:nvSpPr>
        <xdr:cNvPr id="13" name="202" hidden="1">
          <a:extLst>
            <a:ext uri="{FF2B5EF4-FFF2-40B4-BE49-F238E27FC236}">
              <a16:creationId xmlns:a16="http://schemas.microsoft.com/office/drawing/2014/main" id="{00000000-0008-0000-10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51</xdr:row>
      <xdr:rowOff>95250</xdr:rowOff>
    </xdr:to>
    <xdr:sp macro="" textlink="">
      <xdr:nvSpPr>
        <xdr:cNvPr id="14" name="202" hidden="1">
          <a:extLst>
            <a:ext uri="{FF2B5EF4-FFF2-40B4-BE49-F238E27FC236}">
              <a16:creationId xmlns:a16="http://schemas.microsoft.com/office/drawing/2014/main" id="{00000000-0008-0000-10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54</xdr:row>
      <xdr:rowOff>95250</xdr:rowOff>
    </xdr:to>
    <xdr:sp macro="" textlink="">
      <xdr:nvSpPr>
        <xdr:cNvPr id="15" name="202" hidden="1">
          <a:extLst>
            <a:ext uri="{FF2B5EF4-FFF2-40B4-BE49-F238E27FC236}">
              <a16:creationId xmlns:a16="http://schemas.microsoft.com/office/drawing/2014/main" id="{00000000-0008-0000-10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44039" name="202" hidden="1">
          <a:extLst>
            <a:ext uri="{FF2B5EF4-FFF2-40B4-BE49-F238E27FC236}">
              <a16:creationId xmlns:a16="http://schemas.microsoft.com/office/drawing/2014/main" id="{00000000-0008-0000-1000-000007A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16" name="202" hidden="1">
          <a:extLst>
            <a:ext uri="{FF2B5EF4-FFF2-40B4-BE49-F238E27FC236}">
              <a16:creationId xmlns:a16="http://schemas.microsoft.com/office/drawing/2014/main" id="{00000000-0008-0000-10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17" name="202" hidden="1">
          <a:extLst>
            <a:ext uri="{FF2B5EF4-FFF2-40B4-BE49-F238E27FC236}">
              <a16:creationId xmlns:a16="http://schemas.microsoft.com/office/drawing/2014/main" id="{00000000-0008-0000-10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18" name="202" hidden="1">
          <a:extLst>
            <a:ext uri="{FF2B5EF4-FFF2-40B4-BE49-F238E27FC236}">
              <a16:creationId xmlns:a16="http://schemas.microsoft.com/office/drawing/2014/main" id="{00000000-0008-0000-10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19" name="202" hidden="1">
          <a:extLst>
            <a:ext uri="{FF2B5EF4-FFF2-40B4-BE49-F238E27FC236}">
              <a16:creationId xmlns:a16="http://schemas.microsoft.com/office/drawing/2014/main" id="{00000000-0008-0000-10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0" name="202" hidden="1">
          <a:extLst>
            <a:ext uri="{FF2B5EF4-FFF2-40B4-BE49-F238E27FC236}">
              <a16:creationId xmlns:a16="http://schemas.microsoft.com/office/drawing/2014/main" id="{00000000-0008-0000-10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1" name="202" hidden="1">
          <a:extLst>
            <a:ext uri="{FF2B5EF4-FFF2-40B4-BE49-F238E27FC236}">
              <a16:creationId xmlns:a16="http://schemas.microsoft.com/office/drawing/2014/main" id="{00000000-0008-0000-10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44045" name="202" hidden="1">
          <a:extLst>
            <a:ext uri="{FF2B5EF4-FFF2-40B4-BE49-F238E27FC236}">
              <a16:creationId xmlns:a16="http://schemas.microsoft.com/office/drawing/2014/main" id="{00000000-0008-0000-1000-00000DA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2" name="202" hidden="1">
          <a:extLst>
            <a:ext uri="{FF2B5EF4-FFF2-40B4-BE49-F238E27FC236}">
              <a16:creationId xmlns:a16="http://schemas.microsoft.com/office/drawing/2014/main" id="{00000000-0008-0000-10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3" name="202" hidden="1">
          <a:extLst>
            <a:ext uri="{FF2B5EF4-FFF2-40B4-BE49-F238E27FC236}">
              <a16:creationId xmlns:a16="http://schemas.microsoft.com/office/drawing/2014/main" id="{00000000-0008-0000-10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4" name="202" hidden="1">
          <a:extLst>
            <a:ext uri="{FF2B5EF4-FFF2-40B4-BE49-F238E27FC236}">
              <a16:creationId xmlns:a16="http://schemas.microsoft.com/office/drawing/2014/main" id="{00000000-0008-0000-10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5" name="202" hidden="1">
          <a:extLst>
            <a:ext uri="{FF2B5EF4-FFF2-40B4-BE49-F238E27FC236}">
              <a16:creationId xmlns:a16="http://schemas.microsoft.com/office/drawing/2014/main" id="{00000000-0008-0000-10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6" name="202" hidden="1">
          <a:extLst>
            <a:ext uri="{FF2B5EF4-FFF2-40B4-BE49-F238E27FC236}">
              <a16:creationId xmlns:a16="http://schemas.microsoft.com/office/drawing/2014/main" id="{00000000-0008-0000-10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7" name="202" hidden="1">
          <a:extLst>
            <a:ext uri="{FF2B5EF4-FFF2-40B4-BE49-F238E27FC236}">
              <a16:creationId xmlns:a16="http://schemas.microsoft.com/office/drawing/2014/main" id="{00000000-0008-0000-10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8" name="202" hidden="1">
          <a:extLst>
            <a:ext uri="{FF2B5EF4-FFF2-40B4-BE49-F238E27FC236}">
              <a16:creationId xmlns:a16="http://schemas.microsoft.com/office/drawing/2014/main" id="{00000000-0008-0000-10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9" name="202" hidden="1">
          <a:extLst>
            <a:ext uri="{FF2B5EF4-FFF2-40B4-BE49-F238E27FC236}">
              <a16:creationId xmlns:a16="http://schemas.microsoft.com/office/drawing/2014/main" id="{00000000-0008-0000-10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44055" name="202" hidden="1">
          <a:extLst>
            <a:ext uri="{FF2B5EF4-FFF2-40B4-BE49-F238E27FC236}">
              <a16:creationId xmlns:a16="http://schemas.microsoft.com/office/drawing/2014/main" id="{00000000-0008-0000-1000-000017A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eroConfi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Global"/>
      <sheetName val="Quality"/>
      <sheetName val="Reburn_Quality"/>
      <sheetName val="Base"/>
      <sheetName val="Phasic"/>
      <sheetName val="Skin"/>
      <sheetName val="LevelUp"/>
      <sheetName val="Reborn_TransferLevel"/>
      <sheetName val="Reborn_LevelControl"/>
      <sheetName val="Breach"/>
      <sheetName val="Awake"/>
      <sheetName val="ReburnAwake"/>
      <sheetName val="ReburnStage"/>
      <sheetName val="Reburn"/>
      <sheetName val="AttrNew"/>
      <sheetName val="Profession"/>
      <sheetName val="Force"/>
      <sheetName val="SkillCardSkin"/>
      <sheetName val="Skill_LevelUp"/>
      <sheetName val="Skill_LevelUp_Description"/>
    </sheetNames>
    <sheetDataSet>
      <sheetData sheetId="0"/>
      <sheetData sheetId="1"/>
      <sheetData sheetId="2"/>
      <sheetData sheetId="3"/>
      <sheetData sheetId="4">
        <row r="8">
          <cell r="A8">
            <v>1</v>
          </cell>
          <cell r="B8" t="str">
            <v>尤菲莉亚</v>
          </cell>
          <cell r="C8">
            <v>1</v>
          </cell>
          <cell r="D8">
            <v>3</v>
          </cell>
          <cell r="E8" t="str">
            <v>62=2</v>
          </cell>
          <cell r="F8"/>
          <cell r="G8">
            <v>1000</v>
          </cell>
          <cell r="H8">
            <v>1</v>
          </cell>
          <cell r="I8">
            <v>1</v>
          </cell>
          <cell r="J8">
            <v>1</v>
          </cell>
          <cell r="K8">
            <v>0</v>
          </cell>
          <cell r="L8">
            <v>0</v>
          </cell>
          <cell r="M8">
            <v>400</v>
          </cell>
          <cell r="N8">
            <v>90</v>
          </cell>
          <cell r="O8">
            <v>100</v>
          </cell>
          <cell r="P8">
            <v>100</v>
          </cell>
          <cell r="Q8">
            <v>1500</v>
          </cell>
          <cell r="R8">
            <v>500</v>
          </cell>
          <cell r="S8">
            <v>2200</v>
          </cell>
          <cell r="T8">
            <v>3500</v>
          </cell>
          <cell r="U8">
            <v>4</v>
          </cell>
        </row>
        <row r="9">
          <cell r="A9">
            <v>2</v>
          </cell>
          <cell r="B9" t="str">
            <v>露可</v>
          </cell>
          <cell r="C9">
            <v>1</v>
          </cell>
          <cell r="D9">
            <v>2</v>
          </cell>
          <cell r="E9" t="str">
            <v>62=2</v>
          </cell>
          <cell r="F9"/>
          <cell r="G9">
            <v>1000</v>
          </cell>
          <cell r="H9">
            <v>2</v>
          </cell>
          <cell r="I9">
            <v>1</v>
          </cell>
          <cell r="J9">
            <v>2</v>
          </cell>
          <cell r="K9">
            <v>0</v>
          </cell>
          <cell r="L9">
            <v>0</v>
          </cell>
          <cell r="M9">
            <v>400</v>
          </cell>
          <cell r="N9">
            <v>80</v>
          </cell>
          <cell r="O9">
            <v>100</v>
          </cell>
          <cell r="P9">
            <v>100</v>
          </cell>
          <cell r="Q9">
            <v>1500</v>
          </cell>
          <cell r="R9">
            <v>500</v>
          </cell>
          <cell r="S9">
            <v>2200</v>
          </cell>
          <cell r="T9">
            <v>3500</v>
          </cell>
          <cell r="U9">
            <v>4</v>
          </cell>
        </row>
        <row r="10">
          <cell r="A10">
            <v>4</v>
          </cell>
          <cell r="B10" t="str">
            <v>米蕾雅</v>
          </cell>
          <cell r="C10">
            <v>1</v>
          </cell>
          <cell r="D10">
            <v>4</v>
          </cell>
          <cell r="E10" t="str">
            <v>62=1</v>
          </cell>
          <cell r="F10"/>
          <cell r="G10">
            <v>1000</v>
          </cell>
          <cell r="H10">
            <v>1</v>
          </cell>
          <cell r="I10">
            <v>1</v>
          </cell>
          <cell r="J10">
            <v>4</v>
          </cell>
          <cell r="K10">
            <v>0</v>
          </cell>
          <cell r="L10">
            <v>0</v>
          </cell>
          <cell r="M10">
            <v>400</v>
          </cell>
          <cell r="N10">
            <v>120</v>
          </cell>
          <cell r="O10">
            <v>100</v>
          </cell>
          <cell r="P10">
            <v>100</v>
          </cell>
          <cell r="Q10">
            <v>1500</v>
          </cell>
          <cell r="R10">
            <v>500</v>
          </cell>
          <cell r="S10">
            <v>2200</v>
          </cell>
          <cell r="T10">
            <v>3500</v>
          </cell>
          <cell r="U10">
            <v>3</v>
          </cell>
        </row>
        <row r="11">
          <cell r="A11">
            <v>5</v>
          </cell>
          <cell r="B11" t="str">
            <v>恰姆可姆</v>
          </cell>
          <cell r="C11">
            <v>1</v>
          </cell>
          <cell r="D11">
            <v>1</v>
          </cell>
          <cell r="E11" t="str">
            <v>62=6</v>
          </cell>
          <cell r="F11"/>
          <cell r="G11">
            <v>1000</v>
          </cell>
          <cell r="H11">
            <v>1</v>
          </cell>
          <cell r="I11">
            <v>1</v>
          </cell>
          <cell r="J11">
            <v>5</v>
          </cell>
          <cell r="K11">
            <v>0</v>
          </cell>
          <cell r="L11">
            <v>0</v>
          </cell>
          <cell r="M11">
            <v>400</v>
          </cell>
          <cell r="N11">
            <v>90</v>
          </cell>
          <cell r="O11">
            <v>100</v>
          </cell>
          <cell r="P11">
            <v>100</v>
          </cell>
          <cell r="Q11">
            <v>1500</v>
          </cell>
          <cell r="R11">
            <v>500</v>
          </cell>
          <cell r="S11">
            <v>2200</v>
          </cell>
          <cell r="T11">
            <v>3500</v>
          </cell>
          <cell r="U11">
            <v>5</v>
          </cell>
        </row>
        <row r="12">
          <cell r="A12">
            <v>6</v>
          </cell>
          <cell r="B12" t="str">
            <v>伊露娅</v>
          </cell>
          <cell r="C12">
            <v>1</v>
          </cell>
          <cell r="D12">
            <v>1</v>
          </cell>
          <cell r="E12" t="str">
            <v>62=6</v>
          </cell>
          <cell r="F12"/>
          <cell r="G12">
            <v>880</v>
          </cell>
          <cell r="H12">
            <v>1</v>
          </cell>
          <cell r="I12">
            <v>1</v>
          </cell>
          <cell r="J12">
            <v>6</v>
          </cell>
          <cell r="K12">
            <v>0</v>
          </cell>
          <cell r="L12">
            <v>0</v>
          </cell>
          <cell r="M12">
            <v>400</v>
          </cell>
          <cell r="N12">
            <v>80</v>
          </cell>
          <cell r="O12">
            <v>100</v>
          </cell>
          <cell r="P12">
            <v>100</v>
          </cell>
          <cell r="Q12">
            <v>1500</v>
          </cell>
          <cell r="R12">
            <v>500</v>
          </cell>
          <cell r="S12">
            <v>2200</v>
          </cell>
          <cell r="T12">
            <v>3500</v>
          </cell>
          <cell r="U12">
            <v>5</v>
          </cell>
        </row>
        <row r="13">
          <cell r="A13">
            <v>7</v>
          </cell>
          <cell r="B13" t="str">
            <v>乌米</v>
          </cell>
          <cell r="C13">
            <v>1</v>
          </cell>
          <cell r="D13">
            <v>3</v>
          </cell>
          <cell r="E13" t="str">
            <v>62=1</v>
          </cell>
          <cell r="F13"/>
          <cell r="G13">
            <v>1050</v>
          </cell>
          <cell r="H13">
            <v>1</v>
          </cell>
          <cell r="I13">
            <v>1</v>
          </cell>
          <cell r="J13">
            <v>7</v>
          </cell>
          <cell r="K13">
            <v>0</v>
          </cell>
          <cell r="L13">
            <v>0</v>
          </cell>
          <cell r="M13">
            <v>400</v>
          </cell>
          <cell r="N13">
            <v>90</v>
          </cell>
          <cell r="O13">
            <v>100</v>
          </cell>
          <cell r="P13">
            <v>100</v>
          </cell>
          <cell r="Q13">
            <v>1500</v>
          </cell>
          <cell r="R13">
            <v>500</v>
          </cell>
          <cell r="S13">
            <v>2200</v>
          </cell>
          <cell r="T13">
            <v>3500</v>
          </cell>
          <cell r="U13">
            <v>3</v>
          </cell>
        </row>
        <row r="14">
          <cell r="A14">
            <v>8</v>
          </cell>
          <cell r="B14" t="str">
            <v>希丝蕾特</v>
          </cell>
          <cell r="C14">
            <v>3</v>
          </cell>
          <cell r="D14">
            <v>5</v>
          </cell>
          <cell r="E14" t="str">
            <v>62=15</v>
          </cell>
          <cell r="F14"/>
          <cell r="G14">
            <v>820</v>
          </cell>
          <cell r="H14">
            <v>1</v>
          </cell>
          <cell r="I14">
            <v>1</v>
          </cell>
          <cell r="J14">
            <v>8</v>
          </cell>
          <cell r="K14">
            <v>0</v>
          </cell>
          <cell r="L14">
            <v>0</v>
          </cell>
          <cell r="M14">
            <v>400</v>
          </cell>
          <cell r="N14">
            <v>90</v>
          </cell>
          <cell r="O14">
            <v>100</v>
          </cell>
          <cell r="P14">
            <v>100</v>
          </cell>
          <cell r="Q14">
            <v>1500</v>
          </cell>
          <cell r="R14">
            <v>500</v>
          </cell>
          <cell r="S14">
            <v>2200</v>
          </cell>
          <cell r="T14">
            <v>3500</v>
          </cell>
          <cell r="U14">
            <v>5</v>
          </cell>
        </row>
        <row r="15">
          <cell r="A15">
            <v>9</v>
          </cell>
          <cell r="B15" t="str">
            <v>鎏金</v>
          </cell>
          <cell r="C15">
            <v>1</v>
          </cell>
          <cell r="D15">
            <v>3</v>
          </cell>
          <cell r="E15" t="str">
            <v>62=6</v>
          </cell>
          <cell r="F15"/>
          <cell r="G15">
            <v>1050</v>
          </cell>
          <cell r="H15">
            <v>1</v>
          </cell>
          <cell r="I15">
            <v>1</v>
          </cell>
          <cell r="J15">
            <v>9</v>
          </cell>
          <cell r="K15">
            <v>0</v>
          </cell>
          <cell r="L15">
            <v>0</v>
          </cell>
          <cell r="M15">
            <v>400</v>
          </cell>
          <cell r="N15">
            <v>90</v>
          </cell>
          <cell r="O15">
            <v>100</v>
          </cell>
          <cell r="P15">
            <v>100</v>
          </cell>
          <cell r="Q15">
            <v>1500</v>
          </cell>
          <cell r="R15">
            <v>500</v>
          </cell>
          <cell r="S15">
            <v>2200</v>
          </cell>
          <cell r="T15">
            <v>3500</v>
          </cell>
          <cell r="U15">
            <v>5</v>
          </cell>
        </row>
        <row r="16">
          <cell r="A16">
            <v>10</v>
          </cell>
          <cell r="B16" t="str">
            <v>糯糯</v>
          </cell>
          <cell r="C16">
            <v>1</v>
          </cell>
          <cell r="D16">
            <v>1</v>
          </cell>
          <cell r="E16" t="str">
            <v>62=6</v>
          </cell>
          <cell r="F16"/>
          <cell r="G16">
            <v>1050</v>
          </cell>
          <cell r="H16">
            <v>1</v>
          </cell>
          <cell r="I16">
            <v>1</v>
          </cell>
          <cell r="J16">
            <v>10</v>
          </cell>
          <cell r="K16">
            <v>0</v>
          </cell>
          <cell r="L16">
            <v>0</v>
          </cell>
          <cell r="M16">
            <v>400</v>
          </cell>
          <cell r="N16">
            <v>90</v>
          </cell>
          <cell r="O16">
            <v>100</v>
          </cell>
          <cell r="P16">
            <v>100</v>
          </cell>
          <cell r="Q16">
            <v>1500</v>
          </cell>
          <cell r="R16">
            <v>500</v>
          </cell>
          <cell r="S16">
            <v>2200</v>
          </cell>
          <cell r="T16">
            <v>3500</v>
          </cell>
          <cell r="U16">
            <v>5</v>
          </cell>
        </row>
        <row r="17">
          <cell r="A17">
            <v>11</v>
          </cell>
          <cell r="B17" t="str">
            <v>克洛娅</v>
          </cell>
          <cell r="C17">
            <v>1</v>
          </cell>
          <cell r="D17">
            <v>1</v>
          </cell>
          <cell r="E17" t="str">
            <v>62=2</v>
          </cell>
          <cell r="F17"/>
          <cell r="G17">
            <v>1000</v>
          </cell>
          <cell r="H17">
            <v>1</v>
          </cell>
          <cell r="I17">
            <v>1</v>
          </cell>
          <cell r="J17">
            <v>11</v>
          </cell>
          <cell r="K17">
            <v>0</v>
          </cell>
          <cell r="L17">
            <v>0</v>
          </cell>
          <cell r="M17">
            <v>400</v>
          </cell>
          <cell r="N17">
            <v>90</v>
          </cell>
          <cell r="O17">
            <v>100</v>
          </cell>
          <cell r="P17">
            <v>100</v>
          </cell>
          <cell r="Q17">
            <v>1500</v>
          </cell>
          <cell r="R17">
            <v>500</v>
          </cell>
          <cell r="S17">
            <v>2200</v>
          </cell>
          <cell r="T17">
            <v>3500</v>
          </cell>
          <cell r="U17">
            <v>4</v>
          </cell>
        </row>
        <row r="18">
          <cell r="A18">
            <v>12</v>
          </cell>
          <cell r="B18" t="str">
            <v>夜璃</v>
          </cell>
          <cell r="C18">
            <v>1</v>
          </cell>
          <cell r="D18">
            <v>4</v>
          </cell>
          <cell r="E18" t="str">
            <v>62=6</v>
          </cell>
          <cell r="F18"/>
          <cell r="G18">
            <v>1000</v>
          </cell>
          <cell r="H18">
            <v>1</v>
          </cell>
          <cell r="I18">
            <v>1</v>
          </cell>
          <cell r="J18">
            <v>12</v>
          </cell>
          <cell r="K18">
            <v>0</v>
          </cell>
          <cell r="L18">
            <v>0</v>
          </cell>
          <cell r="M18">
            <v>400</v>
          </cell>
          <cell r="N18">
            <v>100</v>
          </cell>
          <cell r="O18">
            <v>100</v>
          </cell>
          <cell r="P18">
            <v>100</v>
          </cell>
          <cell r="Q18">
            <v>1500</v>
          </cell>
          <cell r="R18">
            <v>500</v>
          </cell>
          <cell r="S18">
            <v>2200</v>
          </cell>
          <cell r="T18">
            <v>3500</v>
          </cell>
          <cell r="U18">
            <v>5</v>
          </cell>
        </row>
        <row r="19">
          <cell r="A19">
            <v>13</v>
          </cell>
          <cell r="B19" t="str">
            <v>绯妮</v>
          </cell>
          <cell r="C19">
            <v>1</v>
          </cell>
          <cell r="D19">
            <v>3</v>
          </cell>
          <cell r="E19" t="str">
            <v>62=6</v>
          </cell>
          <cell r="F19"/>
          <cell r="G19">
            <v>1000</v>
          </cell>
          <cell r="H19">
            <v>1</v>
          </cell>
          <cell r="I19">
            <v>1</v>
          </cell>
          <cell r="J19">
            <v>13</v>
          </cell>
          <cell r="K19">
            <v>0</v>
          </cell>
          <cell r="L19">
            <v>0</v>
          </cell>
          <cell r="M19">
            <v>400</v>
          </cell>
          <cell r="N19">
            <v>100</v>
          </cell>
          <cell r="O19">
            <v>100</v>
          </cell>
          <cell r="P19">
            <v>100</v>
          </cell>
          <cell r="Q19">
            <v>1500</v>
          </cell>
          <cell r="R19">
            <v>500</v>
          </cell>
          <cell r="S19">
            <v>2200</v>
          </cell>
          <cell r="T19">
            <v>3500</v>
          </cell>
          <cell r="U19">
            <v>5</v>
          </cell>
        </row>
        <row r="20">
          <cell r="A20">
            <v>14</v>
          </cell>
          <cell r="B20" t="str">
            <v>布莱克</v>
          </cell>
          <cell r="C20">
            <v>1</v>
          </cell>
          <cell r="D20">
            <v>4</v>
          </cell>
          <cell r="E20" t="str">
            <v>62=1</v>
          </cell>
          <cell r="F20"/>
          <cell r="G20">
            <v>1000</v>
          </cell>
          <cell r="H20">
            <v>1</v>
          </cell>
          <cell r="I20">
            <v>1</v>
          </cell>
          <cell r="J20">
            <v>14</v>
          </cell>
          <cell r="K20">
            <v>0</v>
          </cell>
          <cell r="L20">
            <v>0</v>
          </cell>
          <cell r="M20">
            <v>400</v>
          </cell>
          <cell r="N20">
            <v>100</v>
          </cell>
          <cell r="O20">
            <v>100</v>
          </cell>
          <cell r="P20">
            <v>100</v>
          </cell>
          <cell r="Q20">
            <v>1500</v>
          </cell>
          <cell r="R20">
            <v>500</v>
          </cell>
          <cell r="S20">
            <v>2200</v>
          </cell>
          <cell r="T20">
            <v>3500</v>
          </cell>
          <cell r="U20">
            <v>3</v>
          </cell>
        </row>
        <row r="21">
          <cell r="A21">
            <v>15</v>
          </cell>
          <cell r="B21" t="str">
            <v>依沙</v>
          </cell>
          <cell r="C21">
            <v>1</v>
          </cell>
          <cell r="D21">
            <v>4</v>
          </cell>
          <cell r="E21" t="str">
            <v>62=6</v>
          </cell>
          <cell r="F21"/>
          <cell r="G21">
            <v>1000</v>
          </cell>
          <cell r="H21">
            <v>1</v>
          </cell>
          <cell r="I21">
            <v>1</v>
          </cell>
          <cell r="J21">
            <v>15</v>
          </cell>
          <cell r="K21">
            <v>0</v>
          </cell>
          <cell r="L21">
            <v>0</v>
          </cell>
          <cell r="M21">
            <v>400</v>
          </cell>
          <cell r="N21">
            <v>100</v>
          </cell>
          <cell r="O21">
            <v>100</v>
          </cell>
          <cell r="P21">
            <v>100</v>
          </cell>
          <cell r="Q21">
            <v>1500</v>
          </cell>
          <cell r="R21">
            <v>500</v>
          </cell>
          <cell r="S21">
            <v>2200</v>
          </cell>
          <cell r="T21">
            <v>3500</v>
          </cell>
          <cell r="U21">
            <v>5</v>
          </cell>
        </row>
        <row r="22">
          <cell r="A22">
            <v>16</v>
          </cell>
          <cell r="B22" t="str">
            <v>亚撒</v>
          </cell>
          <cell r="C22">
            <v>1</v>
          </cell>
          <cell r="D22">
            <v>4</v>
          </cell>
          <cell r="E22" t="str">
            <v>62=1</v>
          </cell>
          <cell r="F22"/>
          <cell r="G22">
            <v>1000</v>
          </cell>
          <cell r="H22">
            <v>1</v>
          </cell>
          <cell r="I22">
            <v>1</v>
          </cell>
          <cell r="J22">
            <v>16</v>
          </cell>
          <cell r="K22">
            <v>0</v>
          </cell>
          <cell r="L22">
            <v>0</v>
          </cell>
          <cell r="M22">
            <v>400</v>
          </cell>
          <cell r="N22">
            <v>100</v>
          </cell>
          <cell r="O22">
            <v>100</v>
          </cell>
          <cell r="P22">
            <v>100</v>
          </cell>
          <cell r="Q22">
            <v>1500</v>
          </cell>
          <cell r="R22">
            <v>500</v>
          </cell>
          <cell r="S22">
            <v>2200</v>
          </cell>
          <cell r="T22">
            <v>3500</v>
          </cell>
          <cell r="U22">
            <v>3</v>
          </cell>
        </row>
        <row r="23">
          <cell r="A23">
            <v>17</v>
          </cell>
          <cell r="B23" t="str">
            <v>诗刻梅尔</v>
          </cell>
          <cell r="C23">
            <v>1</v>
          </cell>
          <cell r="D23">
            <v>3</v>
          </cell>
          <cell r="E23" t="str">
            <v>62=2</v>
          </cell>
          <cell r="F23"/>
          <cell r="G23">
            <v>1000</v>
          </cell>
          <cell r="H23">
            <v>1</v>
          </cell>
          <cell r="I23">
            <v>1</v>
          </cell>
          <cell r="J23">
            <v>17</v>
          </cell>
          <cell r="K23">
            <v>0</v>
          </cell>
          <cell r="L23">
            <v>0</v>
          </cell>
          <cell r="M23">
            <v>400</v>
          </cell>
          <cell r="N23">
            <v>100</v>
          </cell>
          <cell r="O23">
            <v>100</v>
          </cell>
          <cell r="P23">
            <v>100</v>
          </cell>
          <cell r="Q23">
            <v>1500</v>
          </cell>
          <cell r="R23">
            <v>500</v>
          </cell>
          <cell r="S23">
            <v>2200</v>
          </cell>
          <cell r="T23">
            <v>3500</v>
          </cell>
          <cell r="U23">
            <v>4</v>
          </cell>
        </row>
        <row r="24">
          <cell r="A24">
            <v>18</v>
          </cell>
          <cell r="B24" t="str">
            <v>摩梅尔</v>
          </cell>
          <cell r="C24">
            <v>1</v>
          </cell>
          <cell r="D24">
            <v>1</v>
          </cell>
          <cell r="E24" t="str">
            <v>62=2</v>
          </cell>
          <cell r="F24"/>
          <cell r="G24">
            <v>1000</v>
          </cell>
          <cell r="H24">
            <v>1</v>
          </cell>
          <cell r="I24">
            <v>1</v>
          </cell>
          <cell r="J24">
            <v>18</v>
          </cell>
          <cell r="K24">
            <v>0</v>
          </cell>
          <cell r="L24">
            <v>0</v>
          </cell>
          <cell r="M24">
            <v>400</v>
          </cell>
          <cell r="N24">
            <v>100</v>
          </cell>
          <cell r="O24">
            <v>100</v>
          </cell>
          <cell r="P24">
            <v>100</v>
          </cell>
          <cell r="Q24">
            <v>1500</v>
          </cell>
          <cell r="R24">
            <v>500</v>
          </cell>
          <cell r="S24">
            <v>2200</v>
          </cell>
          <cell r="T24">
            <v>3500</v>
          </cell>
          <cell r="U24">
            <v>4</v>
          </cell>
        </row>
        <row r="25">
          <cell r="A25">
            <v>19</v>
          </cell>
          <cell r="B25" t="str">
            <v>茜瑟</v>
          </cell>
          <cell r="C25">
            <v>1</v>
          </cell>
          <cell r="D25">
            <v>1</v>
          </cell>
          <cell r="E25" t="str">
            <v>62=6</v>
          </cell>
          <cell r="F25"/>
          <cell r="G25">
            <v>1000</v>
          </cell>
          <cell r="H25">
            <v>1</v>
          </cell>
          <cell r="I25">
            <v>1</v>
          </cell>
          <cell r="J25">
            <v>19</v>
          </cell>
          <cell r="K25">
            <v>0</v>
          </cell>
          <cell r="L25">
            <v>0</v>
          </cell>
          <cell r="M25">
            <v>400</v>
          </cell>
          <cell r="N25">
            <v>100</v>
          </cell>
          <cell r="O25">
            <v>100</v>
          </cell>
          <cell r="P25">
            <v>100</v>
          </cell>
          <cell r="Q25">
            <v>1500</v>
          </cell>
          <cell r="R25">
            <v>500</v>
          </cell>
          <cell r="S25">
            <v>2200</v>
          </cell>
          <cell r="T25">
            <v>3500</v>
          </cell>
          <cell r="U25">
            <v>5</v>
          </cell>
        </row>
        <row r="26">
          <cell r="A26">
            <v>20</v>
          </cell>
          <cell r="B26" t="str">
            <v>雪璐</v>
          </cell>
          <cell r="C26">
            <v>1</v>
          </cell>
          <cell r="D26">
            <v>4</v>
          </cell>
          <cell r="E26" t="str">
            <v>62=6</v>
          </cell>
          <cell r="F26" t="str">
            <v>十月版本不上</v>
          </cell>
          <cell r="G26">
            <v>1000</v>
          </cell>
          <cell r="H26">
            <v>1</v>
          </cell>
          <cell r="I26">
            <v>1</v>
          </cell>
          <cell r="J26">
            <v>20</v>
          </cell>
          <cell r="K26">
            <v>0</v>
          </cell>
          <cell r="L26">
            <v>0</v>
          </cell>
          <cell r="M26">
            <v>400</v>
          </cell>
          <cell r="N26">
            <v>100</v>
          </cell>
          <cell r="O26">
            <v>100</v>
          </cell>
          <cell r="P26">
            <v>100</v>
          </cell>
          <cell r="Q26">
            <v>1500</v>
          </cell>
          <cell r="R26">
            <v>500</v>
          </cell>
          <cell r="S26">
            <v>2200</v>
          </cell>
          <cell r="T26">
            <v>3500</v>
          </cell>
          <cell r="U26">
            <v>5</v>
          </cell>
        </row>
        <row r="27">
          <cell r="A27">
            <v>21</v>
          </cell>
          <cell r="B27" t="str">
            <v>刻音</v>
          </cell>
          <cell r="C27">
            <v>1</v>
          </cell>
          <cell r="D27">
            <v>1</v>
          </cell>
          <cell r="E27" t="str">
            <v>62=2</v>
          </cell>
          <cell r="F27"/>
          <cell r="G27">
            <v>1000</v>
          </cell>
          <cell r="H27">
            <v>1</v>
          </cell>
          <cell r="I27">
            <v>1</v>
          </cell>
          <cell r="J27">
            <v>21</v>
          </cell>
          <cell r="K27">
            <v>0</v>
          </cell>
          <cell r="L27">
            <v>0</v>
          </cell>
          <cell r="M27">
            <v>400</v>
          </cell>
          <cell r="N27">
            <v>100</v>
          </cell>
          <cell r="O27">
            <v>100</v>
          </cell>
          <cell r="P27">
            <v>100</v>
          </cell>
          <cell r="Q27">
            <v>1500</v>
          </cell>
          <cell r="R27">
            <v>500</v>
          </cell>
          <cell r="S27">
            <v>2200</v>
          </cell>
          <cell r="T27">
            <v>3500</v>
          </cell>
          <cell r="U27">
            <v>4</v>
          </cell>
        </row>
        <row r="28">
          <cell r="A28">
            <v>22</v>
          </cell>
          <cell r="B28" t="str">
            <v>赛拉</v>
          </cell>
          <cell r="C28">
            <v>1</v>
          </cell>
          <cell r="D28">
            <v>4</v>
          </cell>
          <cell r="E28" t="str">
            <v>62=1</v>
          </cell>
          <cell r="F28"/>
          <cell r="G28">
            <v>1000</v>
          </cell>
          <cell r="H28">
            <v>1</v>
          </cell>
          <cell r="I28">
            <v>1</v>
          </cell>
          <cell r="J28">
            <v>22</v>
          </cell>
          <cell r="K28">
            <v>0</v>
          </cell>
          <cell r="L28">
            <v>0</v>
          </cell>
          <cell r="M28">
            <v>400</v>
          </cell>
          <cell r="N28">
            <v>100</v>
          </cell>
          <cell r="O28">
            <v>100</v>
          </cell>
          <cell r="P28">
            <v>100</v>
          </cell>
          <cell r="Q28">
            <v>1500</v>
          </cell>
          <cell r="R28">
            <v>500</v>
          </cell>
          <cell r="S28">
            <v>2200</v>
          </cell>
          <cell r="T28">
            <v>3500</v>
          </cell>
          <cell r="U28">
            <v>3</v>
          </cell>
        </row>
        <row r="29">
          <cell r="A29">
            <v>23</v>
          </cell>
          <cell r="B29" t="str">
            <v>贝索尔</v>
          </cell>
          <cell r="C29">
            <v>1</v>
          </cell>
          <cell r="D29">
            <v>1</v>
          </cell>
          <cell r="E29" t="str">
            <v>62=6</v>
          </cell>
          <cell r="F29"/>
          <cell r="G29">
            <v>1000</v>
          </cell>
          <cell r="H29">
            <v>1</v>
          </cell>
          <cell r="I29">
            <v>1</v>
          </cell>
          <cell r="J29">
            <v>23</v>
          </cell>
          <cell r="K29">
            <v>0</v>
          </cell>
          <cell r="L29">
            <v>0</v>
          </cell>
          <cell r="M29">
            <v>400</v>
          </cell>
          <cell r="N29">
            <v>100</v>
          </cell>
          <cell r="O29">
            <v>100</v>
          </cell>
          <cell r="P29">
            <v>100</v>
          </cell>
          <cell r="Q29">
            <v>1500</v>
          </cell>
          <cell r="R29">
            <v>500</v>
          </cell>
          <cell r="S29">
            <v>2200</v>
          </cell>
          <cell r="T29">
            <v>3500</v>
          </cell>
          <cell r="U29">
            <v>5</v>
          </cell>
        </row>
        <row r="30">
          <cell r="A30">
            <v>24</v>
          </cell>
          <cell r="B30" t="str">
            <v>芮塔</v>
          </cell>
          <cell r="C30">
            <v>1</v>
          </cell>
          <cell r="D30">
            <v>3</v>
          </cell>
          <cell r="E30" t="str">
            <v>62=6</v>
          </cell>
          <cell r="F30"/>
          <cell r="G30">
            <v>1000</v>
          </cell>
          <cell r="H30">
            <v>1</v>
          </cell>
          <cell r="I30">
            <v>1</v>
          </cell>
          <cell r="J30">
            <v>24</v>
          </cell>
          <cell r="K30">
            <v>0</v>
          </cell>
          <cell r="L30">
            <v>0</v>
          </cell>
          <cell r="M30">
            <v>400</v>
          </cell>
          <cell r="N30">
            <v>100</v>
          </cell>
          <cell r="O30">
            <v>100</v>
          </cell>
          <cell r="P30">
            <v>100</v>
          </cell>
          <cell r="Q30">
            <v>1500</v>
          </cell>
          <cell r="R30">
            <v>500</v>
          </cell>
          <cell r="S30">
            <v>2200</v>
          </cell>
          <cell r="T30">
            <v>3500</v>
          </cell>
          <cell r="U30">
            <v>5</v>
          </cell>
        </row>
        <row r="31">
          <cell r="A31">
            <v>25</v>
          </cell>
          <cell r="B31" t="str">
            <v>福莉特</v>
          </cell>
          <cell r="C31">
            <v>1</v>
          </cell>
          <cell r="D31">
            <v>1</v>
          </cell>
          <cell r="E31" t="str">
            <v>62=2</v>
          </cell>
          <cell r="F31"/>
          <cell r="G31">
            <v>1000</v>
          </cell>
          <cell r="H31">
            <v>25</v>
          </cell>
          <cell r="I31">
            <v>25</v>
          </cell>
          <cell r="J31">
            <v>25</v>
          </cell>
          <cell r="K31">
            <v>0</v>
          </cell>
          <cell r="L31">
            <v>0</v>
          </cell>
          <cell r="M31">
            <v>400</v>
          </cell>
          <cell r="N31">
            <v>100</v>
          </cell>
          <cell r="O31">
            <v>100</v>
          </cell>
          <cell r="P31">
            <v>100</v>
          </cell>
          <cell r="Q31">
            <v>1500</v>
          </cell>
          <cell r="R31">
            <v>500</v>
          </cell>
          <cell r="S31">
            <v>2200</v>
          </cell>
          <cell r="T31">
            <v>3500</v>
          </cell>
          <cell r="U31">
            <v>4</v>
          </cell>
        </row>
        <row r="32">
          <cell r="A32">
            <v>26</v>
          </cell>
          <cell r="B32" t="str">
            <v>萌德斯啾</v>
          </cell>
          <cell r="C32">
            <v>1</v>
          </cell>
          <cell r="D32">
            <v>1</v>
          </cell>
          <cell r="E32" t="str">
            <v>62=6</v>
          </cell>
          <cell r="F32"/>
          <cell r="G32">
            <v>1000</v>
          </cell>
          <cell r="H32">
            <v>1</v>
          </cell>
          <cell r="I32">
            <v>1</v>
          </cell>
          <cell r="J32">
            <v>26</v>
          </cell>
          <cell r="K32">
            <v>0</v>
          </cell>
          <cell r="L32">
            <v>0</v>
          </cell>
          <cell r="M32">
            <v>400</v>
          </cell>
          <cell r="N32">
            <v>100</v>
          </cell>
          <cell r="O32">
            <v>100</v>
          </cell>
          <cell r="P32">
            <v>100</v>
          </cell>
          <cell r="Q32">
            <v>1500</v>
          </cell>
          <cell r="R32">
            <v>500</v>
          </cell>
          <cell r="S32">
            <v>2200</v>
          </cell>
          <cell r="T32">
            <v>3500</v>
          </cell>
          <cell r="U32">
            <v>5</v>
          </cell>
        </row>
        <row r="33">
          <cell r="A33">
            <v>27</v>
          </cell>
          <cell r="B33" t="str">
            <v>凌澜</v>
          </cell>
          <cell r="C33">
            <v>1</v>
          </cell>
          <cell r="D33">
            <v>4</v>
          </cell>
          <cell r="E33" t="str">
            <v>62=2</v>
          </cell>
          <cell r="F33"/>
          <cell r="G33">
            <v>1000</v>
          </cell>
          <cell r="H33">
            <v>1</v>
          </cell>
          <cell r="I33">
            <v>1</v>
          </cell>
          <cell r="J33">
            <v>27</v>
          </cell>
          <cell r="K33">
            <v>0</v>
          </cell>
          <cell r="L33">
            <v>0</v>
          </cell>
          <cell r="M33">
            <v>400</v>
          </cell>
          <cell r="N33">
            <v>90</v>
          </cell>
          <cell r="O33">
            <v>100</v>
          </cell>
          <cell r="P33">
            <v>100</v>
          </cell>
          <cell r="Q33">
            <v>1500</v>
          </cell>
          <cell r="R33">
            <v>500</v>
          </cell>
          <cell r="S33">
            <v>2200</v>
          </cell>
          <cell r="T33">
            <v>3500</v>
          </cell>
          <cell r="U33">
            <v>4</v>
          </cell>
        </row>
        <row r="34">
          <cell r="A34">
            <v>28</v>
          </cell>
          <cell r="B34" t="str">
            <v>尤菲莉亚·英骑</v>
          </cell>
          <cell r="C34">
            <v>1</v>
          </cell>
          <cell r="D34">
            <v>1</v>
          </cell>
          <cell r="E34" t="str">
            <v>62=6</v>
          </cell>
          <cell r="F34" t="str">
            <v>十月版本不上</v>
          </cell>
          <cell r="G34">
            <v>1000</v>
          </cell>
          <cell r="H34">
            <v>1</v>
          </cell>
          <cell r="I34">
            <v>1</v>
          </cell>
          <cell r="J34">
            <v>28</v>
          </cell>
          <cell r="K34">
            <v>0</v>
          </cell>
          <cell r="L34">
            <v>0</v>
          </cell>
          <cell r="M34">
            <v>400</v>
          </cell>
          <cell r="N34">
            <v>90</v>
          </cell>
          <cell r="O34">
            <v>100</v>
          </cell>
          <cell r="P34">
            <v>100</v>
          </cell>
          <cell r="Q34">
            <v>1500</v>
          </cell>
          <cell r="R34">
            <v>500</v>
          </cell>
          <cell r="S34">
            <v>2200</v>
          </cell>
          <cell r="T34">
            <v>3500</v>
          </cell>
          <cell r="U34">
            <v>5</v>
          </cell>
        </row>
        <row r="35">
          <cell r="A35">
            <v>30</v>
          </cell>
          <cell r="B35" t="str">
            <v>丽芙</v>
          </cell>
          <cell r="C35">
            <v>1</v>
          </cell>
          <cell r="D35">
            <v>4</v>
          </cell>
          <cell r="E35" t="str">
            <v>62=6</v>
          </cell>
          <cell r="F35"/>
          <cell r="G35">
            <v>1000</v>
          </cell>
          <cell r="H35">
            <v>1</v>
          </cell>
          <cell r="I35">
            <v>1</v>
          </cell>
          <cell r="J35">
            <v>30</v>
          </cell>
          <cell r="K35">
            <v>0</v>
          </cell>
          <cell r="L35">
            <v>0</v>
          </cell>
          <cell r="M35">
            <v>400</v>
          </cell>
          <cell r="N35">
            <v>100</v>
          </cell>
          <cell r="O35">
            <v>100</v>
          </cell>
          <cell r="P35">
            <v>100</v>
          </cell>
          <cell r="Q35">
            <v>1500</v>
          </cell>
          <cell r="R35">
            <v>500</v>
          </cell>
          <cell r="S35">
            <v>2200</v>
          </cell>
          <cell r="T35">
            <v>3500</v>
          </cell>
          <cell r="U35">
            <v>5</v>
          </cell>
        </row>
        <row r="36">
          <cell r="A36">
            <v>31</v>
          </cell>
          <cell r="B36" t="str">
            <v>基尔</v>
          </cell>
          <cell r="C36">
            <v>1</v>
          </cell>
          <cell r="D36">
            <v>1</v>
          </cell>
          <cell r="E36" t="str">
            <v>62=2</v>
          </cell>
          <cell r="F36"/>
          <cell r="G36">
            <v>1000</v>
          </cell>
          <cell r="H36">
            <v>1</v>
          </cell>
          <cell r="I36">
            <v>1</v>
          </cell>
          <cell r="J36">
            <v>31</v>
          </cell>
          <cell r="K36">
            <v>0</v>
          </cell>
          <cell r="L36">
            <v>0</v>
          </cell>
          <cell r="M36">
            <v>400</v>
          </cell>
          <cell r="N36">
            <v>100</v>
          </cell>
          <cell r="O36">
            <v>100</v>
          </cell>
          <cell r="P36">
            <v>100</v>
          </cell>
          <cell r="Q36">
            <v>1500</v>
          </cell>
          <cell r="R36">
            <v>500</v>
          </cell>
          <cell r="S36">
            <v>2200</v>
          </cell>
          <cell r="T36">
            <v>3500</v>
          </cell>
          <cell r="U36">
            <v>4</v>
          </cell>
        </row>
        <row r="37">
          <cell r="A37">
            <v>32</v>
          </cell>
          <cell r="B37" t="str">
            <v>阿尔芒</v>
          </cell>
          <cell r="C37">
            <v>1</v>
          </cell>
          <cell r="D37">
            <v>3</v>
          </cell>
          <cell r="E37" t="str">
            <v>62=2</v>
          </cell>
          <cell r="F37"/>
          <cell r="G37">
            <v>1000</v>
          </cell>
          <cell r="H37">
            <v>1</v>
          </cell>
          <cell r="I37">
            <v>1</v>
          </cell>
          <cell r="J37">
            <v>32</v>
          </cell>
          <cell r="K37">
            <v>0</v>
          </cell>
          <cell r="L37">
            <v>0</v>
          </cell>
          <cell r="M37">
            <v>400</v>
          </cell>
          <cell r="N37">
            <v>90</v>
          </cell>
          <cell r="O37">
            <v>100</v>
          </cell>
          <cell r="P37">
            <v>100</v>
          </cell>
          <cell r="Q37">
            <v>1500</v>
          </cell>
          <cell r="R37">
            <v>500</v>
          </cell>
          <cell r="S37">
            <v>2200</v>
          </cell>
          <cell r="T37">
            <v>3500</v>
          </cell>
          <cell r="U37">
            <v>4</v>
          </cell>
        </row>
        <row r="38">
          <cell r="A38">
            <v>33</v>
          </cell>
          <cell r="B38" t="str">
            <v>科蒂</v>
          </cell>
          <cell r="C38">
            <v>1</v>
          </cell>
          <cell r="D38">
            <v>1</v>
          </cell>
          <cell r="E38" t="str">
            <v>62=1</v>
          </cell>
          <cell r="F38"/>
          <cell r="G38">
            <v>1000</v>
          </cell>
          <cell r="H38">
            <v>1</v>
          </cell>
          <cell r="I38">
            <v>1</v>
          </cell>
          <cell r="J38">
            <v>33</v>
          </cell>
          <cell r="K38">
            <v>0</v>
          </cell>
          <cell r="L38">
            <v>0</v>
          </cell>
          <cell r="M38">
            <v>400</v>
          </cell>
          <cell r="N38">
            <v>100</v>
          </cell>
          <cell r="O38">
            <v>100</v>
          </cell>
          <cell r="P38">
            <v>100</v>
          </cell>
          <cell r="Q38">
            <v>1500</v>
          </cell>
          <cell r="R38">
            <v>500</v>
          </cell>
          <cell r="S38">
            <v>2200</v>
          </cell>
          <cell r="T38">
            <v>3500</v>
          </cell>
          <cell r="U38">
            <v>3</v>
          </cell>
        </row>
        <row r="39">
          <cell r="A39">
            <v>34</v>
          </cell>
          <cell r="B39" t="str">
            <v>哈索儿</v>
          </cell>
          <cell r="C39">
            <v>1</v>
          </cell>
          <cell r="D39">
            <v>3</v>
          </cell>
          <cell r="E39" t="str">
            <v>62=2</v>
          </cell>
          <cell r="F39"/>
          <cell r="G39">
            <v>1000</v>
          </cell>
          <cell r="H39">
            <v>1</v>
          </cell>
          <cell r="I39">
            <v>1</v>
          </cell>
          <cell r="J39">
            <v>34</v>
          </cell>
          <cell r="K39">
            <v>0</v>
          </cell>
          <cell r="L39">
            <v>0</v>
          </cell>
          <cell r="M39">
            <v>400</v>
          </cell>
          <cell r="N39">
            <v>100</v>
          </cell>
          <cell r="O39">
            <v>100</v>
          </cell>
          <cell r="P39">
            <v>100</v>
          </cell>
          <cell r="Q39">
            <v>1500</v>
          </cell>
          <cell r="R39">
            <v>500</v>
          </cell>
          <cell r="S39">
            <v>2200</v>
          </cell>
          <cell r="T39">
            <v>3500</v>
          </cell>
          <cell r="U39">
            <v>4</v>
          </cell>
        </row>
        <row r="40">
          <cell r="A40">
            <v>35</v>
          </cell>
          <cell r="B40" t="str">
            <v>梅蒂</v>
          </cell>
          <cell r="C40">
            <v>1</v>
          </cell>
          <cell r="D40">
            <v>3</v>
          </cell>
          <cell r="E40" t="str">
            <v>62=6</v>
          </cell>
          <cell r="F40"/>
          <cell r="G40">
            <v>1000</v>
          </cell>
          <cell r="H40">
            <v>1</v>
          </cell>
          <cell r="I40">
            <v>1</v>
          </cell>
          <cell r="J40">
            <v>35</v>
          </cell>
          <cell r="K40">
            <v>0</v>
          </cell>
          <cell r="L40">
            <v>0</v>
          </cell>
          <cell r="M40">
            <v>400</v>
          </cell>
          <cell r="N40">
            <v>100</v>
          </cell>
          <cell r="O40">
            <v>100</v>
          </cell>
          <cell r="P40">
            <v>100</v>
          </cell>
          <cell r="Q40">
            <v>1500</v>
          </cell>
          <cell r="R40">
            <v>500</v>
          </cell>
          <cell r="S40">
            <v>2200</v>
          </cell>
          <cell r="T40">
            <v>3500</v>
          </cell>
          <cell r="U40">
            <v>5</v>
          </cell>
        </row>
        <row r="41">
          <cell r="A41">
            <v>37</v>
          </cell>
          <cell r="B41" t="str">
            <v>玄风</v>
          </cell>
          <cell r="C41">
            <v>3</v>
          </cell>
          <cell r="D41">
            <v>2</v>
          </cell>
          <cell r="E41" t="str">
            <v>62=15</v>
          </cell>
          <cell r="F41"/>
          <cell r="G41">
            <v>1000</v>
          </cell>
          <cell r="H41">
            <v>1</v>
          </cell>
          <cell r="I41">
            <v>1</v>
          </cell>
          <cell r="J41">
            <v>37</v>
          </cell>
          <cell r="K41">
            <v>0</v>
          </cell>
          <cell r="L41">
            <v>0</v>
          </cell>
          <cell r="M41">
            <v>400</v>
          </cell>
          <cell r="N41">
            <v>100</v>
          </cell>
          <cell r="O41">
            <v>100</v>
          </cell>
          <cell r="P41">
            <v>100</v>
          </cell>
          <cell r="Q41">
            <v>1500</v>
          </cell>
          <cell r="R41">
            <v>500</v>
          </cell>
          <cell r="S41">
            <v>2200</v>
          </cell>
          <cell r="T41">
            <v>3500</v>
          </cell>
          <cell r="U41">
            <v>5</v>
          </cell>
        </row>
        <row r="42">
          <cell r="A42">
            <v>38</v>
          </cell>
          <cell r="B42" t="str">
            <v>艾桑</v>
          </cell>
          <cell r="C42">
            <v>1</v>
          </cell>
          <cell r="D42">
            <v>4</v>
          </cell>
          <cell r="E42" t="str">
            <v>62=1</v>
          </cell>
          <cell r="F42"/>
          <cell r="G42">
            <v>1000</v>
          </cell>
          <cell r="H42">
            <v>1</v>
          </cell>
          <cell r="I42">
            <v>1</v>
          </cell>
          <cell r="J42">
            <v>38</v>
          </cell>
          <cell r="K42">
            <v>0</v>
          </cell>
          <cell r="L42">
            <v>0</v>
          </cell>
          <cell r="M42">
            <v>400</v>
          </cell>
          <cell r="N42">
            <v>100</v>
          </cell>
          <cell r="O42">
            <v>100</v>
          </cell>
          <cell r="P42">
            <v>100</v>
          </cell>
          <cell r="Q42">
            <v>1500</v>
          </cell>
          <cell r="R42">
            <v>500</v>
          </cell>
          <cell r="S42">
            <v>2200</v>
          </cell>
          <cell r="T42">
            <v>3500</v>
          </cell>
          <cell r="U42">
            <v>3</v>
          </cell>
        </row>
        <row r="43">
          <cell r="A43">
            <v>39</v>
          </cell>
          <cell r="B43" t="str">
            <v>安缇萝</v>
          </cell>
          <cell r="C43">
            <v>1</v>
          </cell>
          <cell r="D43">
            <v>3</v>
          </cell>
          <cell r="E43" t="str">
            <v>62=6</v>
          </cell>
          <cell r="F43"/>
          <cell r="G43">
            <v>1000</v>
          </cell>
          <cell r="H43">
            <v>1</v>
          </cell>
          <cell r="I43">
            <v>1</v>
          </cell>
          <cell r="J43">
            <v>39</v>
          </cell>
          <cell r="K43">
            <v>0</v>
          </cell>
          <cell r="L43">
            <v>0</v>
          </cell>
          <cell r="M43">
            <v>400</v>
          </cell>
          <cell r="N43">
            <v>100</v>
          </cell>
          <cell r="O43">
            <v>100</v>
          </cell>
          <cell r="P43">
            <v>100</v>
          </cell>
          <cell r="Q43">
            <v>1500</v>
          </cell>
          <cell r="R43">
            <v>500</v>
          </cell>
          <cell r="S43">
            <v>2200</v>
          </cell>
          <cell r="T43">
            <v>3500</v>
          </cell>
          <cell r="U43">
            <v>5</v>
          </cell>
        </row>
        <row r="44">
          <cell r="A44">
            <v>40</v>
          </cell>
          <cell r="B44" t="str">
            <v>艾隆</v>
          </cell>
          <cell r="C44">
            <v>1</v>
          </cell>
          <cell r="D44">
            <v>3</v>
          </cell>
          <cell r="E44" t="str">
            <v>62=6</v>
          </cell>
          <cell r="F44"/>
          <cell r="G44">
            <v>1000</v>
          </cell>
          <cell r="H44">
            <v>1</v>
          </cell>
          <cell r="I44">
            <v>1</v>
          </cell>
          <cell r="J44">
            <v>40</v>
          </cell>
          <cell r="K44">
            <v>0</v>
          </cell>
          <cell r="L44">
            <v>0</v>
          </cell>
          <cell r="M44">
            <v>400</v>
          </cell>
          <cell r="N44">
            <v>100</v>
          </cell>
          <cell r="O44">
            <v>100</v>
          </cell>
          <cell r="P44">
            <v>100</v>
          </cell>
          <cell r="Q44">
            <v>1500</v>
          </cell>
          <cell r="R44">
            <v>500</v>
          </cell>
          <cell r="S44">
            <v>2200</v>
          </cell>
          <cell r="T44">
            <v>3500</v>
          </cell>
          <cell r="U44">
            <v>5</v>
          </cell>
        </row>
        <row r="45">
          <cell r="A45">
            <v>41</v>
          </cell>
          <cell r="B45" t="str">
            <v>薇忒</v>
          </cell>
          <cell r="C45">
            <v>1</v>
          </cell>
          <cell r="D45">
            <v>3</v>
          </cell>
          <cell r="E45" t="str">
            <v>62=2</v>
          </cell>
          <cell r="F45"/>
          <cell r="G45">
            <v>1000</v>
          </cell>
          <cell r="H45">
            <v>1</v>
          </cell>
          <cell r="I45">
            <v>41</v>
          </cell>
          <cell r="J45">
            <v>41</v>
          </cell>
          <cell r="K45">
            <v>0</v>
          </cell>
          <cell r="L45">
            <v>0</v>
          </cell>
          <cell r="M45">
            <v>400</v>
          </cell>
          <cell r="N45">
            <v>100</v>
          </cell>
          <cell r="O45">
            <v>100</v>
          </cell>
          <cell r="P45">
            <v>100</v>
          </cell>
          <cell r="Q45">
            <v>1500</v>
          </cell>
          <cell r="R45">
            <v>500</v>
          </cell>
          <cell r="S45">
            <v>2200</v>
          </cell>
          <cell r="T45">
            <v>3500</v>
          </cell>
          <cell r="U45">
            <v>4</v>
          </cell>
        </row>
        <row r="46">
          <cell r="A46">
            <v>42</v>
          </cell>
          <cell r="B46" t="str">
            <v>卡琳</v>
          </cell>
          <cell r="C46">
            <v>1</v>
          </cell>
          <cell r="D46">
            <v>3</v>
          </cell>
          <cell r="E46" t="str">
            <v>62=1</v>
          </cell>
          <cell r="F46"/>
          <cell r="G46">
            <v>1000</v>
          </cell>
          <cell r="H46">
            <v>1</v>
          </cell>
          <cell r="I46">
            <v>1</v>
          </cell>
          <cell r="J46">
            <v>42</v>
          </cell>
          <cell r="K46">
            <v>0</v>
          </cell>
          <cell r="L46">
            <v>0</v>
          </cell>
          <cell r="M46">
            <v>400</v>
          </cell>
          <cell r="N46">
            <v>100</v>
          </cell>
          <cell r="O46">
            <v>100</v>
          </cell>
          <cell r="P46">
            <v>100</v>
          </cell>
          <cell r="Q46">
            <v>1500</v>
          </cell>
          <cell r="R46">
            <v>500</v>
          </cell>
          <cell r="S46">
            <v>2200</v>
          </cell>
          <cell r="T46">
            <v>3500</v>
          </cell>
          <cell r="U46">
            <v>3</v>
          </cell>
        </row>
        <row r="47">
          <cell r="A47">
            <v>43</v>
          </cell>
          <cell r="B47" t="str">
            <v>蒂比</v>
          </cell>
          <cell r="C47">
            <v>1</v>
          </cell>
          <cell r="D47">
            <v>4</v>
          </cell>
          <cell r="E47" t="str">
            <v>62=6</v>
          </cell>
          <cell r="F47"/>
          <cell r="G47">
            <v>1000</v>
          </cell>
          <cell r="H47">
            <v>1</v>
          </cell>
          <cell r="I47">
            <v>1</v>
          </cell>
          <cell r="J47">
            <v>43</v>
          </cell>
          <cell r="K47">
            <v>0</v>
          </cell>
          <cell r="L47">
            <v>0</v>
          </cell>
          <cell r="M47">
            <v>400</v>
          </cell>
          <cell r="N47">
            <v>100</v>
          </cell>
          <cell r="O47">
            <v>100</v>
          </cell>
          <cell r="P47">
            <v>100</v>
          </cell>
          <cell r="Q47">
            <v>1500</v>
          </cell>
          <cell r="R47">
            <v>500</v>
          </cell>
          <cell r="S47">
            <v>2200</v>
          </cell>
          <cell r="T47">
            <v>3500</v>
          </cell>
          <cell r="U47">
            <v>5</v>
          </cell>
        </row>
        <row r="48">
          <cell r="A48">
            <v>44</v>
          </cell>
          <cell r="B48" t="str">
            <v>缇缇</v>
          </cell>
          <cell r="C48">
            <v>1</v>
          </cell>
          <cell r="D48">
            <v>4</v>
          </cell>
          <cell r="E48" t="str">
            <v>62=6</v>
          </cell>
          <cell r="F48"/>
          <cell r="G48">
            <v>1000</v>
          </cell>
          <cell r="H48">
            <v>1</v>
          </cell>
          <cell r="I48">
            <v>1</v>
          </cell>
          <cell r="J48">
            <v>44</v>
          </cell>
          <cell r="K48">
            <v>0</v>
          </cell>
          <cell r="L48">
            <v>0</v>
          </cell>
          <cell r="M48">
            <v>400</v>
          </cell>
          <cell r="N48">
            <v>100</v>
          </cell>
          <cell r="O48">
            <v>100</v>
          </cell>
          <cell r="P48">
            <v>100</v>
          </cell>
          <cell r="Q48">
            <v>1500</v>
          </cell>
          <cell r="R48">
            <v>500</v>
          </cell>
          <cell r="S48">
            <v>2200</v>
          </cell>
          <cell r="T48">
            <v>3500</v>
          </cell>
          <cell r="U48">
            <v>5</v>
          </cell>
        </row>
        <row r="49">
          <cell r="A49">
            <v>45</v>
          </cell>
          <cell r="B49" t="str">
            <v>托妮</v>
          </cell>
          <cell r="C49">
            <v>1</v>
          </cell>
          <cell r="D49">
            <v>1</v>
          </cell>
          <cell r="E49" t="str">
            <v>62=1</v>
          </cell>
          <cell r="F49"/>
          <cell r="G49">
            <v>1000</v>
          </cell>
          <cell r="H49">
            <v>1</v>
          </cell>
          <cell r="I49">
            <v>1</v>
          </cell>
          <cell r="J49">
            <v>45</v>
          </cell>
          <cell r="K49">
            <v>0</v>
          </cell>
          <cell r="L49">
            <v>0</v>
          </cell>
          <cell r="M49">
            <v>400</v>
          </cell>
          <cell r="N49">
            <v>100</v>
          </cell>
          <cell r="O49">
            <v>100</v>
          </cell>
          <cell r="P49">
            <v>100</v>
          </cell>
          <cell r="Q49">
            <v>1500</v>
          </cell>
          <cell r="R49">
            <v>500</v>
          </cell>
          <cell r="S49">
            <v>2200</v>
          </cell>
          <cell r="T49">
            <v>3500</v>
          </cell>
          <cell r="U49">
            <v>3</v>
          </cell>
        </row>
        <row r="50">
          <cell r="A50">
            <v>46</v>
          </cell>
          <cell r="B50" t="str">
            <v>芙洛汀</v>
          </cell>
          <cell r="C50">
            <v>1</v>
          </cell>
          <cell r="D50">
            <v>4</v>
          </cell>
          <cell r="E50" t="str">
            <v>62=6</v>
          </cell>
          <cell r="F50"/>
          <cell r="G50">
            <v>1000</v>
          </cell>
          <cell r="H50">
            <v>1</v>
          </cell>
          <cell r="I50">
            <v>1</v>
          </cell>
          <cell r="J50">
            <v>46</v>
          </cell>
          <cell r="K50">
            <v>0</v>
          </cell>
          <cell r="L50">
            <v>0</v>
          </cell>
          <cell r="M50">
            <v>400</v>
          </cell>
          <cell r="N50">
            <v>100</v>
          </cell>
          <cell r="O50">
            <v>100</v>
          </cell>
          <cell r="P50">
            <v>100</v>
          </cell>
          <cell r="Q50">
            <v>1500</v>
          </cell>
          <cell r="R50">
            <v>500</v>
          </cell>
          <cell r="S50">
            <v>2200</v>
          </cell>
          <cell r="T50">
            <v>3500</v>
          </cell>
          <cell r="U50">
            <v>5</v>
          </cell>
        </row>
        <row r="51">
          <cell r="A51">
            <v>47</v>
          </cell>
          <cell r="B51" t="str">
            <v>朽花</v>
          </cell>
          <cell r="C51">
            <v>1</v>
          </cell>
          <cell r="D51">
            <v>3</v>
          </cell>
          <cell r="E51" t="str">
            <v>62=6</v>
          </cell>
          <cell r="F51"/>
          <cell r="G51">
            <v>1000</v>
          </cell>
          <cell r="H51">
            <v>1</v>
          </cell>
          <cell r="I51">
            <v>1</v>
          </cell>
          <cell r="J51">
            <v>47</v>
          </cell>
          <cell r="K51">
            <v>0</v>
          </cell>
          <cell r="L51">
            <v>0</v>
          </cell>
          <cell r="M51">
            <v>400</v>
          </cell>
          <cell r="N51">
            <v>100</v>
          </cell>
          <cell r="O51">
            <v>100</v>
          </cell>
          <cell r="P51">
            <v>100</v>
          </cell>
          <cell r="Q51">
            <v>1500</v>
          </cell>
          <cell r="R51">
            <v>500</v>
          </cell>
          <cell r="S51">
            <v>2200</v>
          </cell>
          <cell r="T51">
            <v>3500</v>
          </cell>
          <cell r="U51">
            <v>5</v>
          </cell>
        </row>
        <row r="52">
          <cell r="A52">
            <v>48</v>
          </cell>
          <cell r="B52" t="str">
            <v>伶歌</v>
          </cell>
          <cell r="C52">
            <v>1</v>
          </cell>
          <cell r="D52">
            <v>4</v>
          </cell>
          <cell r="E52" t="str">
            <v>62=6</v>
          </cell>
          <cell r="F52"/>
          <cell r="G52">
            <v>1000</v>
          </cell>
          <cell r="H52">
            <v>1</v>
          </cell>
          <cell r="I52">
            <v>1</v>
          </cell>
          <cell r="J52">
            <v>48</v>
          </cell>
          <cell r="K52">
            <v>0</v>
          </cell>
          <cell r="L52">
            <v>0</v>
          </cell>
          <cell r="M52">
            <v>400</v>
          </cell>
          <cell r="N52">
            <v>100</v>
          </cell>
          <cell r="O52">
            <v>100</v>
          </cell>
          <cell r="P52">
            <v>100</v>
          </cell>
          <cell r="Q52">
            <v>1500</v>
          </cell>
          <cell r="R52">
            <v>500</v>
          </cell>
          <cell r="S52">
            <v>2200</v>
          </cell>
          <cell r="T52">
            <v>3500</v>
          </cell>
          <cell r="U52">
            <v>5</v>
          </cell>
        </row>
        <row r="53">
          <cell r="A53">
            <v>49</v>
          </cell>
          <cell r="B53" t="str">
            <v>默墨</v>
          </cell>
          <cell r="C53">
            <v>1</v>
          </cell>
          <cell r="D53">
            <v>4</v>
          </cell>
          <cell r="E53" t="str">
            <v>62=2</v>
          </cell>
          <cell r="F53"/>
          <cell r="G53">
            <v>1000</v>
          </cell>
          <cell r="H53">
            <v>1</v>
          </cell>
          <cell r="I53">
            <v>1</v>
          </cell>
          <cell r="J53">
            <v>49</v>
          </cell>
          <cell r="K53">
            <v>0</v>
          </cell>
          <cell r="L53">
            <v>0</v>
          </cell>
          <cell r="M53">
            <v>400</v>
          </cell>
          <cell r="N53">
            <v>100</v>
          </cell>
          <cell r="O53">
            <v>100</v>
          </cell>
          <cell r="P53">
            <v>100</v>
          </cell>
          <cell r="Q53">
            <v>1500</v>
          </cell>
          <cell r="R53">
            <v>500</v>
          </cell>
          <cell r="S53">
            <v>2200</v>
          </cell>
          <cell r="T53">
            <v>3500</v>
          </cell>
          <cell r="U53">
            <v>4</v>
          </cell>
        </row>
        <row r="54">
          <cell r="A54">
            <v>51</v>
          </cell>
          <cell r="B54" t="str">
            <v>朔月</v>
          </cell>
          <cell r="C54">
            <v>3</v>
          </cell>
          <cell r="D54">
            <v>2</v>
          </cell>
          <cell r="E54" t="str">
            <v>62=15</v>
          </cell>
          <cell r="F54"/>
          <cell r="G54">
            <v>1000</v>
          </cell>
          <cell r="H54">
            <v>1</v>
          </cell>
          <cell r="I54">
            <v>1</v>
          </cell>
          <cell r="J54">
            <v>51</v>
          </cell>
          <cell r="K54">
            <v>0</v>
          </cell>
          <cell r="L54">
            <v>0</v>
          </cell>
          <cell r="M54">
            <v>400</v>
          </cell>
          <cell r="N54">
            <v>100</v>
          </cell>
          <cell r="O54">
            <v>100</v>
          </cell>
          <cell r="P54">
            <v>100</v>
          </cell>
          <cell r="Q54">
            <v>1500</v>
          </cell>
          <cell r="R54">
            <v>500</v>
          </cell>
          <cell r="S54">
            <v>2200</v>
          </cell>
          <cell r="T54">
            <v>3500</v>
          </cell>
          <cell r="U54">
            <v>5</v>
          </cell>
        </row>
        <row r="55">
          <cell r="A55">
            <v>54</v>
          </cell>
          <cell r="B55" t="str">
            <v>九娘</v>
          </cell>
          <cell r="C55">
            <v>1</v>
          </cell>
          <cell r="D55">
            <v>1</v>
          </cell>
          <cell r="E55" t="str">
            <v>62=6</v>
          </cell>
          <cell r="F55"/>
          <cell r="G55">
            <v>1000</v>
          </cell>
          <cell r="H55">
            <v>1</v>
          </cell>
          <cell r="I55">
            <v>1</v>
          </cell>
          <cell r="J55">
            <v>54</v>
          </cell>
          <cell r="K55">
            <v>0</v>
          </cell>
          <cell r="L55">
            <v>0</v>
          </cell>
          <cell r="M55">
            <v>400</v>
          </cell>
          <cell r="N55">
            <v>100</v>
          </cell>
          <cell r="O55">
            <v>100</v>
          </cell>
          <cell r="P55">
            <v>100</v>
          </cell>
          <cell r="Q55">
            <v>1500</v>
          </cell>
          <cell r="R55">
            <v>500</v>
          </cell>
          <cell r="S55">
            <v>2200</v>
          </cell>
          <cell r="T55">
            <v>3500</v>
          </cell>
          <cell r="U55">
            <v>5</v>
          </cell>
        </row>
        <row r="56">
          <cell r="A56">
            <v>56</v>
          </cell>
          <cell r="B56" t="str">
            <v>爱洛</v>
          </cell>
          <cell r="C56">
            <v>1</v>
          </cell>
          <cell r="D56">
            <v>3</v>
          </cell>
          <cell r="E56" t="str">
            <v>62=6</v>
          </cell>
          <cell r="F56"/>
          <cell r="G56">
            <v>1000</v>
          </cell>
          <cell r="H56">
            <v>1</v>
          </cell>
          <cell r="I56">
            <v>1</v>
          </cell>
          <cell r="J56">
            <v>56</v>
          </cell>
          <cell r="K56">
            <v>0</v>
          </cell>
          <cell r="L56">
            <v>0</v>
          </cell>
          <cell r="M56">
            <v>400</v>
          </cell>
          <cell r="N56">
            <v>100</v>
          </cell>
          <cell r="O56">
            <v>100</v>
          </cell>
          <cell r="P56">
            <v>100</v>
          </cell>
          <cell r="Q56">
            <v>1500</v>
          </cell>
          <cell r="R56">
            <v>500</v>
          </cell>
          <cell r="S56">
            <v>2200</v>
          </cell>
          <cell r="T56">
            <v>3500</v>
          </cell>
          <cell r="U56">
            <v>5</v>
          </cell>
        </row>
        <row r="57">
          <cell r="A57">
            <v>59</v>
          </cell>
          <cell r="B57" t="str">
            <v>火露可（占位用，ID无效）</v>
          </cell>
          <cell r="C57">
            <v>1</v>
          </cell>
          <cell r="D57">
            <v>3</v>
          </cell>
          <cell r="E57" t="str">
            <v>62=2</v>
          </cell>
          <cell r="F57" t="str">
            <v>十月版本不上</v>
          </cell>
          <cell r="G57">
            <v>1000</v>
          </cell>
          <cell r="H57">
            <v>2</v>
          </cell>
          <cell r="I57">
            <v>1</v>
          </cell>
          <cell r="J57">
            <v>2</v>
          </cell>
          <cell r="K57">
            <v>0</v>
          </cell>
          <cell r="L57">
            <v>0</v>
          </cell>
          <cell r="M57">
            <v>400</v>
          </cell>
          <cell r="N57">
            <v>80</v>
          </cell>
          <cell r="O57">
            <v>100</v>
          </cell>
          <cell r="P57">
            <v>100</v>
          </cell>
          <cell r="Q57">
            <v>1500</v>
          </cell>
          <cell r="R57">
            <v>500</v>
          </cell>
          <cell r="S57">
            <v>2200</v>
          </cell>
          <cell r="T57">
            <v>3500</v>
          </cell>
          <cell r="U57">
            <v>4</v>
          </cell>
        </row>
        <row r="58">
          <cell r="A58">
            <v>62</v>
          </cell>
          <cell r="B58" t="str">
            <v>卡戎</v>
          </cell>
          <cell r="C58">
            <v>1</v>
          </cell>
          <cell r="D58">
            <v>1</v>
          </cell>
          <cell r="E58" t="str">
            <v>62=6</v>
          </cell>
          <cell r="F58"/>
          <cell r="G58">
            <v>1000</v>
          </cell>
          <cell r="H58">
            <v>1</v>
          </cell>
          <cell r="I58">
            <v>1</v>
          </cell>
          <cell r="J58">
            <v>62</v>
          </cell>
          <cell r="K58">
            <v>0</v>
          </cell>
          <cell r="L58">
            <v>0</v>
          </cell>
          <cell r="M58">
            <v>400</v>
          </cell>
          <cell r="N58">
            <v>100</v>
          </cell>
          <cell r="O58">
            <v>100</v>
          </cell>
          <cell r="P58">
            <v>100</v>
          </cell>
          <cell r="Q58">
            <v>1500</v>
          </cell>
          <cell r="R58">
            <v>500</v>
          </cell>
          <cell r="S58">
            <v>2200</v>
          </cell>
          <cell r="T58">
            <v>3500</v>
          </cell>
          <cell r="U58">
            <v>5</v>
          </cell>
        </row>
        <row r="59">
          <cell r="A59">
            <v>55</v>
          </cell>
          <cell r="B59" t="str">
            <v>拉丝蒂娜</v>
          </cell>
          <cell r="C59">
            <v>1</v>
          </cell>
          <cell r="D59">
            <v>3</v>
          </cell>
          <cell r="E59" t="str">
            <v>62=6</v>
          </cell>
          <cell r="F59"/>
          <cell r="G59">
            <v>1000</v>
          </cell>
          <cell r="H59">
            <v>1</v>
          </cell>
          <cell r="I59">
            <v>1</v>
          </cell>
          <cell r="J59">
            <v>55</v>
          </cell>
          <cell r="K59">
            <v>0</v>
          </cell>
          <cell r="L59">
            <v>0</v>
          </cell>
          <cell r="M59">
            <v>400</v>
          </cell>
          <cell r="N59">
            <v>100</v>
          </cell>
          <cell r="O59">
            <v>100</v>
          </cell>
          <cell r="P59">
            <v>100</v>
          </cell>
          <cell r="Q59">
            <v>1500</v>
          </cell>
          <cell r="R59">
            <v>500</v>
          </cell>
          <cell r="S59">
            <v>2200</v>
          </cell>
          <cell r="T59">
            <v>3500</v>
          </cell>
          <cell r="U59">
            <v>5</v>
          </cell>
        </row>
        <row r="60">
          <cell r="A60">
            <v>53</v>
          </cell>
          <cell r="B60" t="str">
            <v>北斗</v>
          </cell>
          <cell r="C60">
            <v>1</v>
          </cell>
          <cell r="D60">
            <v>3</v>
          </cell>
          <cell r="E60" t="str">
            <v>62=6</v>
          </cell>
          <cell r="F60"/>
          <cell r="G60">
            <v>1000</v>
          </cell>
          <cell r="H60">
            <v>1</v>
          </cell>
          <cell r="I60">
            <v>1</v>
          </cell>
          <cell r="J60">
            <v>53</v>
          </cell>
          <cell r="K60">
            <v>0</v>
          </cell>
          <cell r="L60">
            <v>0</v>
          </cell>
          <cell r="M60">
            <v>400</v>
          </cell>
          <cell r="N60">
            <v>100</v>
          </cell>
          <cell r="O60">
            <v>100</v>
          </cell>
          <cell r="P60">
            <v>100</v>
          </cell>
          <cell r="Q60">
            <v>1500</v>
          </cell>
          <cell r="R60">
            <v>500</v>
          </cell>
          <cell r="S60">
            <v>2200</v>
          </cell>
          <cell r="T60">
            <v>3500</v>
          </cell>
          <cell r="U60">
            <v>5</v>
          </cell>
        </row>
        <row r="61">
          <cell r="A61">
            <v>52</v>
          </cell>
          <cell r="B61" t="str">
            <v>阿尔玛</v>
          </cell>
          <cell r="C61">
            <v>1</v>
          </cell>
          <cell r="D61">
            <v>4</v>
          </cell>
          <cell r="E61" t="str">
            <v>62=6</v>
          </cell>
          <cell r="F61"/>
          <cell r="G61">
            <v>1000</v>
          </cell>
          <cell r="H61">
            <v>1</v>
          </cell>
          <cell r="I61">
            <v>1</v>
          </cell>
          <cell r="J61">
            <v>52</v>
          </cell>
          <cell r="K61">
            <v>0</v>
          </cell>
          <cell r="L61">
            <v>0</v>
          </cell>
          <cell r="M61">
            <v>400</v>
          </cell>
          <cell r="N61">
            <v>100</v>
          </cell>
          <cell r="O61">
            <v>100</v>
          </cell>
          <cell r="P61">
            <v>100</v>
          </cell>
          <cell r="Q61">
            <v>1500</v>
          </cell>
          <cell r="R61">
            <v>500</v>
          </cell>
          <cell r="S61">
            <v>2200</v>
          </cell>
          <cell r="T61">
            <v>3500</v>
          </cell>
          <cell r="U61">
            <v>5</v>
          </cell>
        </row>
        <row r="62">
          <cell r="A62">
            <v>64</v>
          </cell>
          <cell r="B62" t="str">
            <v>相柳</v>
          </cell>
          <cell r="C62">
            <v>1</v>
          </cell>
          <cell r="D62">
            <v>4</v>
          </cell>
          <cell r="E62" t="str">
            <v>62=6</v>
          </cell>
          <cell r="F62"/>
          <cell r="G62">
            <v>1000</v>
          </cell>
          <cell r="H62">
            <v>1</v>
          </cell>
          <cell r="I62">
            <v>1</v>
          </cell>
          <cell r="J62">
            <v>64</v>
          </cell>
          <cell r="K62">
            <v>0</v>
          </cell>
          <cell r="L62">
            <v>0</v>
          </cell>
          <cell r="M62">
            <v>400</v>
          </cell>
          <cell r="N62">
            <v>100</v>
          </cell>
          <cell r="O62">
            <v>100</v>
          </cell>
          <cell r="P62">
            <v>100</v>
          </cell>
          <cell r="Q62">
            <v>1500</v>
          </cell>
          <cell r="R62">
            <v>500</v>
          </cell>
          <cell r="S62">
            <v>2200</v>
          </cell>
          <cell r="T62">
            <v>3500</v>
          </cell>
          <cell r="U62">
            <v>5</v>
          </cell>
        </row>
        <row r="63">
          <cell r="A63">
            <v>63</v>
          </cell>
          <cell r="B63" t="str">
            <v>玉卿</v>
          </cell>
          <cell r="C63">
            <v>3</v>
          </cell>
          <cell r="D63">
            <v>5</v>
          </cell>
          <cell r="E63" t="str">
            <v>62=15</v>
          </cell>
          <cell r="F63"/>
          <cell r="G63">
            <v>1000</v>
          </cell>
          <cell r="H63">
            <v>1</v>
          </cell>
          <cell r="I63">
            <v>1</v>
          </cell>
          <cell r="J63">
            <v>63</v>
          </cell>
          <cell r="K63">
            <v>0</v>
          </cell>
          <cell r="L63">
            <v>0</v>
          </cell>
          <cell r="M63">
            <v>400</v>
          </cell>
          <cell r="N63">
            <v>100</v>
          </cell>
          <cell r="O63">
            <v>100</v>
          </cell>
          <cell r="P63">
            <v>100</v>
          </cell>
          <cell r="Q63">
            <v>1500</v>
          </cell>
          <cell r="R63">
            <v>500</v>
          </cell>
          <cell r="S63">
            <v>2200</v>
          </cell>
          <cell r="T63">
            <v>3500</v>
          </cell>
          <cell r="U63">
            <v>5</v>
          </cell>
        </row>
        <row r="64">
          <cell r="A64">
            <v>66</v>
          </cell>
          <cell r="B64" t="str">
            <v>薇洛缇雅</v>
          </cell>
          <cell r="C64">
            <v>1</v>
          </cell>
          <cell r="D64">
            <v>3</v>
          </cell>
          <cell r="E64" t="str">
            <v>62=6</v>
          </cell>
          <cell r="G64">
            <v>1000</v>
          </cell>
          <cell r="H64">
            <v>1</v>
          </cell>
          <cell r="I64">
            <v>1</v>
          </cell>
          <cell r="J64">
            <v>66</v>
          </cell>
          <cell r="K64">
            <v>0</v>
          </cell>
          <cell r="L64">
            <v>0</v>
          </cell>
          <cell r="M64">
            <v>400</v>
          </cell>
          <cell r="N64">
            <v>100</v>
          </cell>
          <cell r="O64">
            <v>100</v>
          </cell>
          <cell r="P64">
            <v>100</v>
          </cell>
          <cell r="Q64">
            <v>1500</v>
          </cell>
          <cell r="R64">
            <v>500</v>
          </cell>
          <cell r="S64">
            <v>2200</v>
          </cell>
          <cell r="T64">
            <v>3500</v>
          </cell>
          <cell r="U64">
            <v>5</v>
          </cell>
        </row>
        <row r="65">
          <cell r="A65">
            <v>67</v>
          </cell>
          <cell r="B65" t="str">
            <v>露丝黛尔</v>
          </cell>
          <cell r="C65">
            <v>1</v>
          </cell>
          <cell r="D65">
            <v>1</v>
          </cell>
          <cell r="E65" t="str">
            <v>62=6</v>
          </cell>
          <cell r="G65">
            <v>1000</v>
          </cell>
          <cell r="H65">
            <v>1</v>
          </cell>
          <cell r="I65">
            <v>1</v>
          </cell>
          <cell r="J65">
            <v>67</v>
          </cell>
          <cell r="K65">
            <v>0</v>
          </cell>
          <cell r="L65">
            <v>0</v>
          </cell>
          <cell r="M65">
            <v>400</v>
          </cell>
          <cell r="N65">
            <v>100</v>
          </cell>
          <cell r="O65">
            <v>100</v>
          </cell>
          <cell r="P65">
            <v>100</v>
          </cell>
          <cell r="Q65">
            <v>1500</v>
          </cell>
          <cell r="R65">
            <v>500</v>
          </cell>
          <cell r="S65">
            <v>2200</v>
          </cell>
          <cell r="T65">
            <v>3500</v>
          </cell>
          <cell r="U65">
            <v>5</v>
          </cell>
        </row>
        <row r="66">
          <cell r="A66">
            <v>65</v>
          </cell>
          <cell r="B66" t="str">
            <v>葛叶御前</v>
          </cell>
          <cell r="C66">
            <v>3</v>
          </cell>
          <cell r="D66">
            <v>2</v>
          </cell>
          <cell r="E66" t="str">
            <v>62=15</v>
          </cell>
          <cell r="G66">
            <v>1000</v>
          </cell>
          <cell r="H66">
            <v>1</v>
          </cell>
          <cell r="I66">
            <v>1</v>
          </cell>
          <cell r="J66">
            <v>65</v>
          </cell>
          <cell r="K66">
            <v>0</v>
          </cell>
          <cell r="L66">
            <v>0</v>
          </cell>
          <cell r="M66">
            <v>400</v>
          </cell>
          <cell r="N66">
            <v>100</v>
          </cell>
          <cell r="O66">
            <v>100</v>
          </cell>
          <cell r="P66">
            <v>100</v>
          </cell>
          <cell r="Q66">
            <v>1500</v>
          </cell>
          <cell r="R66">
            <v>500</v>
          </cell>
          <cell r="S66">
            <v>2200</v>
          </cell>
          <cell r="T66">
            <v>3500</v>
          </cell>
          <cell r="U66">
            <v>5</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17" totalsRowShown="0">
  <autoFilter ref="A1:F17" xr:uid="{00000000-0009-0000-0100-000001000000}"/>
  <tableColumns count="6">
    <tableColumn id="1" xr3:uid="{00000000-0010-0000-0000-000001000000}" name="sheetName"/>
    <tableColumn id="2" xr3:uid="{00000000-0010-0000-0000-000002000000}" name="tbxName" dataDxfId="307"/>
    <tableColumn id="3" xr3:uid="{00000000-0010-0000-0000-000003000000}" name="isExport"/>
    <tableColumn id="5" xr3:uid="{00000000-0010-0000-0000-000005000000}" name="creator" dataDxfId="306"/>
    <tableColumn id="4" xr3:uid="{00000000-0010-0000-0000-000004000000}" name="desc"/>
    <tableColumn id="6" xr3:uid="{00000000-0010-0000-0000-000006000000}" name="列1"/>
  </tableColumns>
  <tableStyleInfo name="TableStyleLight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7.bin"/><Relationship Id="rId4" Type="http://schemas.openxmlformats.org/officeDocument/2006/relationships/comments" Target="../comments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8.bin"/><Relationship Id="rId4" Type="http://schemas.openxmlformats.org/officeDocument/2006/relationships/comments" Target="../comments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68"/>
  <sheetViews>
    <sheetView workbookViewId="0">
      <selection activeCell="I9" sqref="I9"/>
    </sheetView>
  </sheetViews>
  <sheetFormatPr defaultColWidth="9" defaultRowHeight="13.5"/>
  <cols>
    <col min="1" max="1" width="16.375" customWidth="1"/>
    <col min="2" max="2" width="28.25" customWidth="1"/>
    <col min="3" max="3" width="16.125" customWidth="1"/>
    <col min="4" max="4" width="22.75" customWidth="1"/>
    <col min="5" max="5" width="17" customWidth="1"/>
    <col min="6" max="7" width="10.75" customWidth="1"/>
  </cols>
  <sheetData>
    <row r="1" spans="1:6" s="22" customFormat="1" ht="30" customHeight="1">
      <c r="A1" s="23" t="s">
        <v>0</v>
      </c>
      <c r="B1" s="23" t="s">
        <v>1</v>
      </c>
      <c r="C1" s="23" t="s">
        <v>2</v>
      </c>
      <c r="D1" s="23" t="s">
        <v>3</v>
      </c>
      <c r="E1" s="23" t="s">
        <v>4</v>
      </c>
      <c r="F1" s="23" t="s">
        <v>5</v>
      </c>
    </row>
    <row r="2" spans="1:6" s="22" customFormat="1" ht="30" customHeight="1">
      <c r="A2" s="23" t="s">
        <v>6</v>
      </c>
      <c r="B2" t="s">
        <v>7</v>
      </c>
      <c r="C2">
        <v>1</v>
      </c>
      <c r="D2" t="s">
        <v>8</v>
      </c>
      <c r="E2" t="s">
        <v>9</v>
      </c>
      <c r="F2"/>
    </row>
    <row r="3" spans="1:6" s="62" customFormat="1" ht="30" customHeight="1">
      <c r="A3" s="62" t="s">
        <v>10</v>
      </c>
      <c r="B3" s="62" t="s">
        <v>11</v>
      </c>
      <c r="C3" s="62">
        <v>1</v>
      </c>
      <c r="D3" s="62" t="s">
        <v>8</v>
      </c>
      <c r="E3" s="62" t="s">
        <v>12</v>
      </c>
    </row>
    <row r="4" spans="1:6" s="62" customFormat="1" ht="30" customHeight="1">
      <c r="A4" s="62" t="s">
        <v>13</v>
      </c>
      <c r="B4" s="62" t="s">
        <v>14</v>
      </c>
      <c r="C4" s="62">
        <v>1</v>
      </c>
      <c r="D4" s="62" t="s">
        <v>8</v>
      </c>
      <c r="E4" s="62" t="s">
        <v>15</v>
      </c>
    </row>
    <row r="5" spans="1:6" ht="30" customHeight="1">
      <c r="A5" t="s">
        <v>16</v>
      </c>
      <c r="B5" t="s">
        <v>17</v>
      </c>
      <c r="C5">
        <v>1</v>
      </c>
      <c r="D5" t="s">
        <v>8</v>
      </c>
      <c r="E5" t="s">
        <v>18</v>
      </c>
    </row>
    <row r="6" spans="1:6" ht="30" customHeight="1">
      <c r="A6" t="s">
        <v>19</v>
      </c>
      <c r="B6" t="s">
        <v>20</v>
      </c>
      <c r="C6">
        <v>1</v>
      </c>
      <c r="D6" t="s">
        <v>8</v>
      </c>
      <c r="E6" t="s">
        <v>21</v>
      </c>
    </row>
    <row r="7" spans="1:6" ht="30" customHeight="1">
      <c r="A7" t="s">
        <v>22</v>
      </c>
      <c r="B7" t="s">
        <v>23</v>
      </c>
      <c r="C7">
        <v>1</v>
      </c>
      <c r="D7" t="s">
        <v>8</v>
      </c>
      <c r="E7" t="s">
        <v>24</v>
      </c>
    </row>
    <row r="8" spans="1:6" ht="30" customHeight="1">
      <c r="A8" t="s">
        <v>25</v>
      </c>
      <c r="B8" t="s">
        <v>26</v>
      </c>
      <c r="C8">
        <v>1</v>
      </c>
      <c r="D8" t="s">
        <v>8</v>
      </c>
      <c r="E8" t="s">
        <v>27</v>
      </c>
    </row>
    <row r="9" spans="1:6" ht="30" customHeight="1">
      <c r="A9" t="s">
        <v>28</v>
      </c>
      <c r="B9" t="s">
        <v>29</v>
      </c>
      <c r="C9">
        <v>1</v>
      </c>
      <c r="D9" t="s">
        <v>8</v>
      </c>
      <c r="E9" t="s">
        <v>30</v>
      </c>
    </row>
    <row r="10" spans="1:6" ht="30" customHeight="1">
      <c r="A10" t="s">
        <v>31</v>
      </c>
      <c r="B10" t="s">
        <v>32</v>
      </c>
      <c r="C10">
        <v>1</v>
      </c>
      <c r="D10" t="s">
        <v>8</v>
      </c>
      <c r="E10" t="s">
        <v>33</v>
      </c>
    </row>
    <row r="11" spans="1:6" ht="30" customHeight="1">
      <c r="A11" t="s">
        <v>1477</v>
      </c>
      <c r="B11" s="27" t="s">
        <v>1478</v>
      </c>
      <c r="C11">
        <v>1</v>
      </c>
      <c r="D11" s="27" t="s">
        <v>1476</v>
      </c>
      <c r="E11" s="27" t="s">
        <v>1475</v>
      </c>
    </row>
    <row r="12" spans="1:6" ht="30" customHeight="1">
      <c r="A12" t="s">
        <v>34</v>
      </c>
      <c r="B12" s="27" t="s">
        <v>835</v>
      </c>
      <c r="C12">
        <v>1</v>
      </c>
      <c r="D12" t="s">
        <v>8</v>
      </c>
      <c r="E12" t="s">
        <v>35</v>
      </c>
    </row>
    <row r="13" spans="1:6" ht="30" customHeight="1">
      <c r="A13" s="68" t="s">
        <v>832</v>
      </c>
      <c r="B13" s="68" t="s">
        <v>836</v>
      </c>
      <c r="C13" s="68">
        <v>1</v>
      </c>
      <c r="D13" s="69"/>
      <c r="E13" s="69" t="s">
        <v>839</v>
      </c>
      <c r="F13" s="68"/>
    </row>
    <row r="14" spans="1:6" ht="30" customHeight="1">
      <c r="A14" s="68" t="s">
        <v>833</v>
      </c>
      <c r="B14" s="68" t="s">
        <v>837</v>
      </c>
      <c r="C14" s="68">
        <v>1</v>
      </c>
      <c r="D14" s="69"/>
      <c r="E14" s="69" t="s">
        <v>840</v>
      </c>
      <c r="F14" s="68"/>
    </row>
    <row r="15" spans="1:6" ht="30" customHeight="1">
      <c r="A15" s="69" t="s">
        <v>846</v>
      </c>
      <c r="B15" s="69" t="s">
        <v>848</v>
      </c>
      <c r="C15" s="68">
        <v>1</v>
      </c>
      <c r="D15" s="69"/>
      <c r="E15" s="69" t="s">
        <v>841</v>
      </c>
      <c r="F15" s="68"/>
    </row>
    <row r="16" spans="1:6" ht="30" customHeight="1">
      <c r="A16" s="69" t="s">
        <v>847</v>
      </c>
      <c r="B16" s="69" t="s">
        <v>849</v>
      </c>
      <c r="C16" s="68">
        <v>1</v>
      </c>
      <c r="D16" s="69"/>
      <c r="E16" s="69" t="s">
        <v>850</v>
      </c>
      <c r="F16" s="68"/>
    </row>
    <row r="17" spans="1:6" ht="30" customHeight="1">
      <c r="A17" s="68" t="s">
        <v>834</v>
      </c>
      <c r="B17" s="68" t="s">
        <v>838</v>
      </c>
      <c r="C17" s="68">
        <v>1</v>
      </c>
      <c r="D17" s="69"/>
      <c r="E17" s="69" t="s">
        <v>842</v>
      </c>
      <c r="F17" s="68"/>
    </row>
    <row r="18" spans="1:6" ht="30" customHeight="1">
      <c r="B18" s="24"/>
      <c r="C18" s="24"/>
    </row>
    <row r="19" spans="1:6" ht="30" customHeight="1">
      <c r="B19" s="24"/>
      <c r="C19" s="24"/>
    </row>
    <row r="20" spans="1:6" ht="30" customHeight="1"/>
    <row r="21" spans="1:6" ht="30" customHeight="1"/>
    <row r="22" spans="1:6" ht="30" customHeight="1"/>
    <row r="23" spans="1:6" ht="30" customHeight="1"/>
    <row r="24" spans="1:6" ht="30" customHeight="1"/>
    <row r="25" spans="1:6" ht="30" customHeight="1"/>
    <row r="26" spans="1:6" ht="30" customHeight="1"/>
    <row r="27" spans="1:6" ht="30" customHeight="1"/>
    <row r="28" spans="1:6" ht="30" customHeight="1"/>
    <row r="29" spans="1:6" ht="30" customHeight="1"/>
    <row r="30" spans="1:6" ht="30" customHeight="1"/>
    <row r="31" spans="1:6" ht="30" customHeight="1"/>
    <row r="32" spans="1:6"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sheetData>
  <phoneticPr fontId="15" type="noConversion"/>
  <conditionalFormatting sqref="A1:A10 A12:A1048576">
    <cfRule type="expression" dxfId="305" priority="8" stopIfTrue="1">
      <formula>$C1=""</formula>
    </cfRule>
    <cfRule type="expression" dxfId="304" priority="9" stopIfTrue="1">
      <formula>$C1=1</formula>
    </cfRule>
    <cfRule type="expression" dxfId="303" priority="10" stopIfTrue="1">
      <formula>$C1=0</formula>
    </cfRule>
  </conditionalFormatting>
  <conditionalFormatting sqref="E1:E10 E12:E1048576">
    <cfRule type="expression" dxfId="302" priority="5">
      <formula>AND(NOT(ISBLANK($A1)),ISBLANK($E1))</formula>
    </cfRule>
  </conditionalFormatting>
  <conditionalFormatting sqref="A11">
    <cfRule type="expression" dxfId="301" priority="2" stopIfTrue="1">
      <formula>$C11=""</formula>
    </cfRule>
    <cfRule type="expression" dxfId="300" priority="3" stopIfTrue="1">
      <formula>$C11=1</formula>
    </cfRule>
    <cfRule type="expression" dxfId="299" priority="4" stopIfTrue="1">
      <formula>$C11=0</formula>
    </cfRule>
  </conditionalFormatting>
  <conditionalFormatting sqref="E11">
    <cfRule type="expression" dxfId="298" priority="1">
      <formula>AND(NOT(ISBLANK($A11)),ISBLANK($E11))</formula>
    </cfRule>
  </conditionalFormatting>
  <pageMargins left="0.7" right="0.7" top="0.75" bottom="0.75" header="0.3" footer="0.3"/>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Pict="0">
                <anchor moveWithCells="1" sizeWithCells="1">
                  <from>
                    <xdr:col>5</xdr:col>
                    <xdr:colOff>0</xdr:colOff>
                    <xdr:row>0</xdr:row>
                    <xdr:rowOff>0</xdr:rowOff>
                  </from>
                  <to>
                    <xdr:col>6</xdr:col>
                    <xdr:colOff>0</xdr:colOff>
                    <xdr:row>1</xdr:row>
                    <xdr:rowOff>0</xdr:rowOff>
                  </to>
                </anchor>
              </controlPr>
            </control>
          </mc:Choice>
        </mc:AlternateContent>
        <mc:AlternateContent xmlns:mc="http://schemas.openxmlformats.org/markup-compatibility/2006">
          <mc:Choice Requires="x14">
            <control shapeId="1026" r:id="rId5" name="Button 2">
              <controlPr defaultSize="0" autoPict="0">
                <anchor moveWithCells="1" sizeWithCells="1">
                  <from>
                    <xdr:col>6</xdr:col>
                    <xdr:colOff>0</xdr:colOff>
                    <xdr:row>0</xdr:row>
                    <xdr:rowOff>0</xdr:rowOff>
                  </from>
                  <to>
                    <xdr:col>7</xdr:col>
                    <xdr:colOff>0</xdr:colOff>
                    <xdr:row>1</xdr:row>
                    <xdr:rowOff>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0" tint="-0.34998626667073579"/>
  </sheetPr>
  <dimension ref="A1:E19"/>
  <sheetViews>
    <sheetView workbookViewId="0">
      <selection activeCell="D35" sqref="D35"/>
    </sheetView>
  </sheetViews>
  <sheetFormatPr defaultColWidth="9" defaultRowHeight="13.5"/>
  <cols>
    <col min="1" max="1" width="12" customWidth="1"/>
    <col min="2" max="2" width="16.625" customWidth="1"/>
    <col min="3" max="3" width="11.25" customWidth="1"/>
    <col min="4" max="4" width="38.25" customWidth="1"/>
    <col min="5" max="5" width="72.125" customWidth="1"/>
  </cols>
  <sheetData>
    <row r="1" spans="1:5">
      <c r="A1" s="3" t="s">
        <v>36</v>
      </c>
      <c r="B1" s="3" t="s">
        <v>851</v>
      </c>
      <c r="C1" s="3" t="s">
        <v>64</v>
      </c>
      <c r="D1" s="3" t="s">
        <v>65</v>
      </c>
      <c r="E1" s="1" t="s">
        <v>66</v>
      </c>
    </row>
    <row r="2" spans="1:5">
      <c r="A2" s="3" t="s">
        <v>41</v>
      </c>
      <c r="B2" s="3" t="s">
        <v>852</v>
      </c>
      <c r="C2" s="3" t="s">
        <v>67</v>
      </c>
      <c r="D2" s="3" t="s">
        <v>68</v>
      </c>
      <c r="E2" s="1" t="s">
        <v>69</v>
      </c>
    </row>
    <row r="3" spans="1:5">
      <c r="A3" s="3" t="s">
        <v>46</v>
      </c>
      <c r="B3" s="3" t="s">
        <v>46</v>
      </c>
      <c r="C3" s="3" t="s">
        <v>47</v>
      </c>
      <c r="D3" s="3" t="s">
        <v>47</v>
      </c>
      <c r="E3" s="1" t="s">
        <v>47</v>
      </c>
    </row>
    <row r="4" spans="1:5">
      <c r="A4" s="3" t="s">
        <v>48</v>
      </c>
      <c r="B4" s="3" t="s">
        <v>48</v>
      </c>
      <c r="C4" s="3" t="s">
        <v>50</v>
      </c>
      <c r="D4" s="3" t="s">
        <v>49</v>
      </c>
      <c r="E4" s="1" t="s">
        <v>49</v>
      </c>
    </row>
    <row r="5" spans="1:5">
      <c r="A5" s="3"/>
      <c r="B5" s="3"/>
      <c r="C5" s="3"/>
      <c r="D5" s="3"/>
      <c r="E5" s="1"/>
    </row>
    <row r="6" spans="1:5">
      <c r="A6" s="3"/>
      <c r="B6" s="3" t="s">
        <v>853</v>
      </c>
      <c r="C6" s="3"/>
      <c r="D6" s="3"/>
      <c r="E6" s="1"/>
    </row>
    <row r="7" spans="1:5">
      <c r="A7" s="3" t="s">
        <v>8</v>
      </c>
      <c r="B7" s="3" t="s">
        <v>8</v>
      </c>
      <c r="C7" s="3" t="s">
        <v>8</v>
      </c>
      <c r="D7" s="3" t="s">
        <v>8</v>
      </c>
      <c r="E7" s="1" t="s">
        <v>8</v>
      </c>
    </row>
    <row r="8" spans="1:5" ht="16.5">
      <c r="A8" s="8">
        <v>1</v>
      </c>
      <c r="B8" s="8">
        <v>1</v>
      </c>
      <c r="C8" s="18" t="s">
        <v>854</v>
      </c>
      <c r="D8" s="8" t="s">
        <v>1873</v>
      </c>
      <c r="E8" s="19" t="s">
        <v>71</v>
      </c>
    </row>
    <row r="9" spans="1:5" ht="16.5">
      <c r="A9" s="8">
        <v>2</v>
      </c>
      <c r="B9" s="8">
        <v>2</v>
      </c>
      <c r="C9" s="18" t="s">
        <v>72</v>
      </c>
      <c r="D9" s="8" t="s">
        <v>646</v>
      </c>
      <c r="E9" s="20" t="s">
        <v>73</v>
      </c>
    </row>
    <row r="10" spans="1:5" ht="16.5">
      <c r="A10" s="8">
        <v>3</v>
      </c>
      <c r="B10" s="8">
        <v>3</v>
      </c>
      <c r="C10" s="18" t="s">
        <v>74</v>
      </c>
      <c r="D10" s="8" t="s">
        <v>647</v>
      </c>
      <c r="E10" s="4" t="s">
        <v>75</v>
      </c>
    </row>
    <row r="11" spans="1:5" ht="16.5">
      <c r="A11" s="8">
        <v>4</v>
      </c>
      <c r="B11" s="8">
        <v>4</v>
      </c>
      <c r="C11" s="18" t="s">
        <v>76</v>
      </c>
      <c r="D11" s="8" t="s">
        <v>648</v>
      </c>
      <c r="E11" s="20" t="s">
        <v>77</v>
      </c>
    </row>
    <row r="12" spans="1:5" ht="16.5">
      <c r="A12" s="8">
        <v>5</v>
      </c>
      <c r="B12" s="8">
        <v>5</v>
      </c>
      <c r="C12" s="18" t="s">
        <v>78</v>
      </c>
      <c r="D12" s="8" t="s">
        <v>649</v>
      </c>
      <c r="E12" s="20" t="s">
        <v>79</v>
      </c>
    </row>
    <row r="13" spans="1:5" ht="16.5">
      <c r="A13" s="8">
        <v>6</v>
      </c>
      <c r="B13" s="8">
        <v>7</v>
      </c>
      <c r="C13" s="18" t="s">
        <v>80</v>
      </c>
      <c r="D13" s="8" t="s">
        <v>1874</v>
      </c>
      <c r="E13" s="20" t="s">
        <v>81</v>
      </c>
    </row>
    <row r="14" spans="1:5" ht="16.5">
      <c r="A14" s="8">
        <v>7</v>
      </c>
      <c r="B14" s="8">
        <v>8</v>
      </c>
      <c r="C14" s="18" t="s">
        <v>82</v>
      </c>
      <c r="D14" s="8" t="s">
        <v>650</v>
      </c>
      <c r="E14" s="20" t="s">
        <v>83</v>
      </c>
    </row>
    <row r="15" spans="1:5" ht="16.5">
      <c r="A15" s="8">
        <v>8</v>
      </c>
      <c r="B15" s="8">
        <v>9</v>
      </c>
      <c r="C15" s="18" t="s">
        <v>84</v>
      </c>
      <c r="D15" s="8" t="s">
        <v>1875</v>
      </c>
      <c r="E15" s="20" t="s">
        <v>438</v>
      </c>
    </row>
    <row r="16" spans="1:5" ht="16.5">
      <c r="A16" s="8">
        <v>9</v>
      </c>
      <c r="B16" s="8">
        <v>10</v>
      </c>
      <c r="C16" s="18" t="s">
        <v>85</v>
      </c>
      <c r="D16" s="8" t="s">
        <v>651</v>
      </c>
      <c r="E16" s="20" t="s">
        <v>437</v>
      </c>
    </row>
    <row r="17" spans="1:5" ht="16.5">
      <c r="A17" s="8">
        <v>10</v>
      </c>
      <c r="B17" s="8">
        <v>13</v>
      </c>
      <c r="C17" s="18" t="s">
        <v>86</v>
      </c>
      <c r="D17" s="8" t="s">
        <v>652</v>
      </c>
      <c r="E17" s="20" t="s">
        <v>87</v>
      </c>
    </row>
    <row r="18" spans="1:5" ht="16.5">
      <c r="A18" s="8">
        <v>11</v>
      </c>
      <c r="B18" s="8">
        <v>14</v>
      </c>
      <c r="C18" s="18" t="s">
        <v>88</v>
      </c>
      <c r="D18" s="8" t="s">
        <v>653</v>
      </c>
      <c r="E18" s="20" t="s">
        <v>89</v>
      </c>
    </row>
    <row r="19" spans="1:5" ht="16.5">
      <c r="A19" s="8">
        <v>12</v>
      </c>
      <c r="B19" s="8">
        <v>12</v>
      </c>
      <c r="C19" s="21" t="s">
        <v>90</v>
      </c>
      <c r="D19" s="8" t="s">
        <v>654</v>
      </c>
      <c r="E19" s="20" t="s">
        <v>91</v>
      </c>
    </row>
  </sheetData>
  <phoneticPr fontId="15" type="noConversion"/>
  <conditionalFormatting sqref="B3:B7">
    <cfRule type="containsText" dxfId="297" priority="5" operator="containsText" text="请填写">
      <formula>NOT(ISERROR(SEARCH("请填写",B3)))</formula>
    </cfRule>
    <cfRule type="containsText" dxfId="296" priority="6" operator="containsText" text="请填写">
      <formula>NOT(ISERROR(SEARCH("请填写",B3)))</formula>
    </cfRule>
    <cfRule type="containsText" dxfId="295" priority="7" operator="containsText" text="请填写">
      <formula>NOT(ISERROR(SEARCH("请填写",B3)))</formula>
    </cfRule>
  </conditionalFormatting>
  <conditionalFormatting sqref="C3:C7">
    <cfRule type="containsText" dxfId="294" priority="4" operator="containsText" text="请填写">
      <formula>NOT(ISERROR(SEARCH("请填写",C3)))</formula>
    </cfRule>
  </conditionalFormatting>
  <conditionalFormatting sqref="D3:D7">
    <cfRule type="containsText" dxfId="293" priority="3" operator="containsText" text="请填写">
      <formula>NOT(ISERROR(SEARCH("请填写",D3)))</formula>
    </cfRule>
  </conditionalFormatting>
  <conditionalFormatting sqref="E3:E7">
    <cfRule type="containsText" dxfId="292" priority="1" operator="containsText" text="请填写">
      <formula>NOT(ISERROR(SEARCH("请填写",E3)))</formula>
    </cfRule>
    <cfRule type="containsText" dxfId="291" priority="2" operator="containsText" text="请填写">
      <formula>NOT(ISERROR(SEARCH("请填写",E3)))</formula>
    </cfRule>
  </conditionalFormatting>
  <conditionalFormatting sqref="A3:B7">
    <cfRule type="containsText" dxfId="290" priority="8" operator="containsText" text="请填写">
      <formula>NOT(ISERROR(SEARCH("请填写",A3)))</formula>
    </cfRule>
    <cfRule type="containsText" dxfId="289" priority="9" operator="containsText" text="请填写">
      <formula>NOT(ISERROR(SEARCH("请填写",A3)))</formula>
    </cfRule>
  </conditionalFormatting>
  <dataValidations count="3">
    <dataValidation type="list" allowBlank="1" showInputMessage="1" showErrorMessage="1" sqref="A4:E4" xr:uid="{00000000-0002-0000-0100-000000000000}">
      <formula1>"All,Server,Client,None"</formula1>
    </dataValidation>
    <dataValidation type="list" allowBlank="1" showInputMessage="1" showErrorMessage="1" sqref="B3:E3" xr:uid="{00000000-0002-0000-0100-000001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3" xr:uid="{00000000-0002-0000-0100-000002000000}">
      <formula1>"string,transtring,float,uint32,bool,int32"</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0" tint="-0.34998626667073579"/>
  </sheetPr>
  <dimension ref="A1:G36"/>
  <sheetViews>
    <sheetView topLeftCell="A16" workbookViewId="0">
      <selection activeCell="A37" sqref="A37:XFD40"/>
    </sheetView>
  </sheetViews>
  <sheetFormatPr defaultColWidth="9" defaultRowHeight="13.5"/>
  <cols>
    <col min="2" max="2" width="19" customWidth="1"/>
    <col min="3" max="3" width="14" customWidth="1"/>
    <col min="4" max="4" width="39.375" customWidth="1"/>
    <col min="5" max="5" width="22.75" customWidth="1"/>
    <col min="6" max="6" width="48.125" customWidth="1"/>
    <col min="7" max="7" width="18.25" customWidth="1"/>
  </cols>
  <sheetData>
    <row r="1" spans="1:7">
      <c r="A1" s="3" t="s">
        <v>36</v>
      </c>
      <c r="B1" s="3" t="s">
        <v>855</v>
      </c>
      <c r="C1" s="3" t="s">
        <v>856</v>
      </c>
      <c r="D1" s="3" t="s">
        <v>94</v>
      </c>
      <c r="E1" s="3" t="s">
        <v>65</v>
      </c>
      <c r="F1" s="1" t="s">
        <v>857</v>
      </c>
      <c r="G1" s="70" t="s">
        <v>858</v>
      </c>
    </row>
    <row r="2" spans="1:7">
      <c r="A2" s="3" t="s">
        <v>41</v>
      </c>
      <c r="B2" s="3" t="s">
        <v>95</v>
      </c>
      <c r="C2" s="3" t="s">
        <v>859</v>
      </c>
      <c r="D2" s="3" t="s">
        <v>860</v>
      </c>
      <c r="E2" s="3" t="s">
        <v>68</v>
      </c>
      <c r="F2" s="1" t="s">
        <v>69</v>
      </c>
      <c r="G2" s="70" t="s">
        <v>861</v>
      </c>
    </row>
    <row r="3" spans="1:7">
      <c r="A3" s="3" t="s">
        <v>46</v>
      </c>
      <c r="B3" s="3" t="s">
        <v>46</v>
      </c>
      <c r="C3" s="3" t="s">
        <v>47</v>
      </c>
      <c r="D3" s="3" t="s">
        <v>47</v>
      </c>
      <c r="E3" s="3" t="s">
        <v>47</v>
      </c>
      <c r="F3" s="1" t="s">
        <v>47</v>
      </c>
      <c r="G3" s="1" t="s">
        <v>46</v>
      </c>
    </row>
    <row r="4" spans="1:7">
      <c r="A4" s="3" t="s">
        <v>48</v>
      </c>
      <c r="B4" s="3" t="s">
        <v>48</v>
      </c>
      <c r="C4" s="3" t="s">
        <v>50</v>
      </c>
      <c r="D4" s="3" t="s">
        <v>49</v>
      </c>
      <c r="E4" s="3" t="s">
        <v>49</v>
      </c>
      <c r="F4" s="1" t="s">
        <v>49</v>
      </c>
      <c r="G4" s="1" t="s">
        <v>49</v>
      </c>
    </row>
    <row r="5" spans="1:7">
      <c r="A5" s="3" t="s">
        <v>51</v>
      </c>
      <c r="B5" s="3"/>
      <c r="C5" s="3"/>
      <c r="D5" s="3"/>
      <c r="E5" s="3"/>
      <c r="F5" s="1"/>
      <c r="G5" s="1"/>
    </row>
    <row r="6" spans="1:7" ht="40.5">
      <c r="A6" s="3" t="s">
        <v>52</v>
      </c>
      <c r="B6" s="3" t="s">
        <v>862</v>
      </c>
      <c r="C6" s="3"/>
      <c r="D6" s="3"/>
      <c r="E6" s="3"/>
      <c r="F6" s="1"/>
      <c r="G6" s="1" t="s">
        <v>863</v>
      </c>
    </row>
    <row r="7" spans="1:7">
      <c r="A7" s="3" t="s">
        <v>8</v>
      </c>
      <c r="B7" s="3" t="s">
        <v>8</v>
      </c>
      <c r="C7" s="3" t="s">
        <v>8</v>
      </c>
      <c r="D7" s="3" t="s">
        <v>8</v>
      </c>
      <c r="E7" s="3" t="s">
        <v>8</v>
      </c>
      <c r="F7" s="1" t="s">
        <v>8</v>
      </c>
      <c r="G7" s="1" t="s">
        <v>8</v>
      </c>
    </row>
    <row r="8" spans="1:7">
      <c r="A8" s="8">
        <v>1</v>
      </c>
      <c r="B8" s="71">
        <v>4101</v>
      </c>
      <c r="C8" s="71" t="s">
        <v>864</v>
      </c>
      <c r="D8" s="8" t="s">
        <v>865</v>
      </c>
      <c r="E8" s="8" t="s">
        <v>866</v>
      </c>
      <c r="F8" s="72" t="s">
        <v>867</v>
      </c>
      <c r="G8" s="4">
        <v>41011</v>
      </c>
    </row>
    <row r="9" spans="1:7" ht="16.5">
      <c r="A9" s="8">
        <v>2</v>
      </c>
      <c r="B9" s="71">
        <v>4102</v>
      </c>
      <c r="C9" s="71" t="s">
        <v>868</v>
      </c>
      <c r="D9" s="8" t="s">
        <v>869</v>
      </c>
      <c r="E9" s="8" t="s">
        <v>870</v>
      </c>
      <c r="F9" s="73" t="s">
        <v>871</v>
      </c>
      <c r="G9" s="4">
        <v>41021</v>
      </c>
    </row>
    <row r="10" spans="1:7">
      <c r="A10" s="8">
        <v>3</v>
      </c>
      <c r="B10" s="71">
        <v>4103</v>
      </c>
      <c r="C10" s="71" t="s">
        <v>872</v>
      </c>
      <c r="D10" s="8" t="s">
        <v>873</v>
      </c>
      <c r="E10" s="8" t="s">
        <v>874</v>
      </c>
      <c r="F10" s="72" t="s">
        <v>875</v>
      </c>
      <c r="G10" s="4">
        <v>41031</v>
      </c>
    </row>
    <row r="11" spans="1:7">
      <c r="A11" s="8">
        <v>4</v>
      </c>
      <c r="B11" s="71">
        <v>4104</v>
      </c>
      <c r="C11" s="71" t="s">
        <v>876</v>
      </c>
      <c r="D11" s="8" t="s">
        <v>877</v>
      </c>
      <c r="E11" s="8" t="s">
        <v>878</v>
      </c>
      <c r="F11" s="72" t="s">
        <v>879</v>
      </c>
      <c r="G11" s="4">
        <v>41041</v>
      </c>
    </row>
    <row r="12" spans="1:7">
      <c r="A12" s="8">
        <v>5</v>
      </c>
      <c r="B12" s="71">
        <v>4105</v>
      </c>
      <c r="C12" s="71" t="s">
        <v>880</v>
      </c>
      <c r="D12" s="8" t="s">
        <v>881</v>
      </c>
      <c r="E12" s="8" t="s">
        <v>882</v>
      </c>
      <c r="F12" s="72" t="s">
        <v>883</v>
      </c>
      <c r="G12" s="4">
        <v>41051</v>
      </c>
    </row>
    <row r="13" spans="1:7">
      <c r="A13" s="8">
        <v>6</v>
      </c>
      <c r="B13" s="71">
        <v>4106</v>
      </c>
      <c r="C13" s="71" t="s">
        <v>884</v>
      </c>
      <c r="D13" s="8" t="s">
        <v>885</v>
      </c>
      <c r="E13" s="8" t="s">
        <v>886</v>
      </c>
      <c r="F13" s="72" t="s">
        <v>887</v>
      </c>
      <c r="G13" s="4">
        <v>41061</v>
      </c>
    </row>
    <row r="14" spans="1:7">
      <c r="A14" s="8">
        <v>7</v>
      </c>
      <c r="B14" s="71">
        <v>4201</v>
      </c>
      <c r="C14" s="71" t="s">
        <v>888</v>
      </c>
      <c r="D14" s="8" t="s">
        <v>889</v>
      </c>
      <c r="E14" s="8" t="s">
        <v>890</v>
      </c>
      <c r="F14" s="72" t="s">
        <v>891</v>
      </c>
      <c r="G14" s="4">
        <v>42011</v>
      </c>
    </row>
    <row r="15" spans="1:7">
      <c r="A15" s="8">
        <v>8</v>
      </c>
      <c r="B15" s="71">
        <v>4202</v>
      </c>
      <c r="C15" s="71" t="s">
        <v>892</v>
      </c>
      <c r="D15" s="8" t="s">
        <v>893</v>
      </c>
      <c r="E15" s="8" t="s">
        <v>894</v>
      </c>
      <c r="F15" s="72" t="s">
        <v>895</v>
      </c>
      <c r="G15" s="4">
        <v>42021</v>
      </c>
    </row>
    <row r="16" spans="1:7">
      <c r="A16" s="8">
        <v>9</v>
      </c>
      <c r="B16" s="71">
        <v>4203</v>
      </c>
      <c r="C16" s="71" t="s">
        <v>896</v>
      </c>
      <c r="D16" s="8" t="s">
        <v>897</v>
      </c>
      <c r="E16" s="8" t="s">
        <v>898</v>
      </c>
      <c r="F16" s="72" t="s">
        <v>899</v>
      </c>
      <c r="G16" s="4">
        <v>42031</v>
      </c>
    </row>
    <row r="17" spans="1:7">
      <c r="A17" s="8">
        <v>10</v>
      </c>
      <c r="B17" s="71">
        <v>4204</v>
      </c>
      <c r="C17" s="71" t="s">
        <v>900</v>
      </c>
      <c r="D17" s="8" t="s">
        <v>901</v>
      </c>
      <c r="E17" s="8" t="s">
        <v>902</v>
      </c>
      <c r="F17" s="72" t="s">
        <v>903</v>
      </c>
      <c r="G17" s="4">
        <v>42041</v>
      </c>
    </row>
    <row r="18" spans="1:7">
      <c r="A18" s="8">
        <v>11</v>
      </c>
      <c r="B18" s="71">
        <v>4301</v>
      </c>
      <c r="C18" s="71" t="s">
        <v>904</v>
      </c>
      <c r="D18" s="8" t="s">
        <v>905</v>
      </c>
      <c r="E18" s="8" t="s">
        <v>906</v>
      </c>
      <c r="F18" s="72" t="s">
        <v>907</v>
      </c>
      <c r="G18" s="4">
        <v>43011</v>
      </c>
    </row>
    <row r="19" spans="1:7">
      <c r="A19" s="8">
        <v>12</v>
      </c>
      <c r="B19" s="71">
        <v>4302</v>
      </c>
      <c r="C19" s="71" t="s">
        <v>908</v>
      </c>
      <c r="D19" s="8" t="s">
        <v>909</v>
      </c>
      <c r="E19" s="8" t="s">
        <v>910</v>
      </c>
      <c r="F19" s="72" t="s">
        <v>911</v>
      </c>
      <c r="G19" s="4">
        <v>43021</v>
      </c>
    </row>
    <row r="20" spans="1:7">
      <c r="A20" s="8">
        <v>13</v>
      </c>
      <c r="B20" s="71">
        <v>4303</v>
      </c>
      <c r="C20" s="71" t="s">
        <v>912</v>
      </c>
      <c r="D20" s="8" t="s">
        <v>913</v>
      </c>
      <c r="E20" s="8" t="s">
        <v>914</v>
      </c>
      <c r="F20" s="72" t="s">
        <v>915</v>
      </c>
      <c r="G20" s="4">
        <v>43031</v>
      </c>
    </row>
    <row r="21" spans="1:7">
      <c r="A21" s="8">
        <v>14</v>
      </c>
      <c r="B21" s="71">
        <v>4304</v>
      </c>
      <c r="C21" s="71" t="s">
        <v>916</v>
      </c>
      <c r="D21" s="8" t="s">
        <v>917</v>
      </c>
      <c r="E21" s="8" t="s">
        <v>918</v>
      </c>
      <c r="F21" s="72" t="s">
        <v>919</v>
      </c>
      <c r="G21" s="4">
        <v>43041</v>
      </c>
    </row>
    <row r="22" spans="1:7">
      <c r="A22" s="8">
        <v>15</v>
      </c>
      <c r="B22" s="71">
        <v>5101</v>
      </c>
      <c r="C22" s="71" t="s">
        <v>920</v>
      </c>
      <c r="D22" s="8" t="s">
        <v>921</v>
      </c>
      <c r="E22" s="8" t="s">
        <v>922</v>
      </c>
      <c r="F22" s="72" t="s">
        <v>923</v>
      </c>
      <c r="G22" s="4">
        <v>51011</v>
      </c>
    </row>
    <row r="23" spans="1:7">
      <c r="A23" s="8">
        <v>16</v>
      </c>
      <c r="B23" s="71">
        <v>5102</v>
      </c>
      <c r="C23" s="71" t="s">
        <v>924</v>
      </c>
      <c r="D23" s="8" t="s">
        <v>925</v>
      </c>
      <c r="E23" s="8" t="s">
        <v>926</v>
      </c>
      <c r="F23" s="72" t="s">
        <v>927</v>
      </c>
      <c r="G23" s="4">
        <v>51021</v>
      </c>
    </row>
    <row r="24" spans="1:7">
      <c r="A24" s="8">
        <v>17</v>
      </c>
      <c r="B24" s="71">
        <v>5103</v>
      </c>
      <c r="C24" s="71" t="s">
        <v>928</v>
      </c>
      <c r="D24" s="8" t="s">
        <v>929</v>
      </c>
      <c r="E24" s="8" t="s">
        <v>930</v>
      </c>
      <c r="F24" s="72" t="s">
        <v>931</v>
      </c>
      <c r="G24" s="4">
        <v>51031</v>
      </c>
    </row>
    <row r="25" spans="1:7">
      <c r="A25" s="8">
        <v>18</v>
      </c>
      <c r="B25" s="71">
        <v>5104</v>
      </c>
      <c r="C25" s="71" t="s">
        <v>932</v>
      </c>
      <c r="D25" s="8" t="s">
        <v>933</v>
      </c>
      <c r="E25" s="8" t="s">
        <v>934</v>
      </c>
      <c r="F25" s="72" t="s">
        <v>935</v>
      </c>
      <c r="G25" s="4">
        <v>51041</v>
      </c>
    </row>
    <row r="26" spans="1:7">
      <c r="A26" s="8">
        <v>19</v>
      </c>
      <c r="B26" s="71">
        <v>5105</v>
      </c>
      <c r="C26" s="71" t="s">
        <v>936</v>
      </c>
      <c r="D26" s="8" t="s">
        <v>937</v>
      </c>
      <c r="E26" s="8" t="s">
        <v>938</v>
      </c>
      <c r="F26" s="72" t="s">
        <v>939</v>
      </c>
      <c r="G26" s="4">
        <v>51051</v>
      </c>
    </row>
    <row r="27" spans="1:7">
      <c r="A27" s="8">
        <v>20</v>
      </c>
      <c r="B27" s="71">
        <v>5201</v>
      </c>
      <c r="C27" s="71" t="s">
        <v>940</v>
      </c>
      <c r="D27" s="8" t="s">
        <v>941</v>
      </c>
      <c r="E27" s="8" t="s">
        <v>942</v>
      </c>
      <c r="F27" s="72" t="s">
        <v>943</v>
      </c>
      <c r="G27" s="4">
        <v>52011</v>
      </c>
    </row>
    <row r="28" spans="1:7">
      <c r="A28" s="8">
        <v>21</v>
      </c>
      <c r="B28" s="71">
        <v>5202</v>
      </c>
      <c r="C28" s="71" t="s">
        <v>944</v>
      </c>
      <c r="D28" s="8" t="s">
        <v>945</v>
      </c>
      <c r="E28" s="8" t="s">
        <v>946</v>
      </c>
      <c r="F28" s="72" t="s">
        <v>947</v>
      </c>
      <c r="G28" s="4">
        <v>52021</v>
      </c>
    </row>
    <row r="29" spans="1:7">
      <c r="A29" s="8">
        <v>22</v>
      </c>
      <c r="B29" s="71">
        <v>5203</v>
      </c>
      <c r="C29" s="71" t="s">
        <v>948</v>
      </c>
      <c r="D29" s="8" t="s">
        <v>949</v>
      </c>
      <c r="E29" s="8" t="s">
        <v>950</v>
      </c>
      <c r="F29" s="72" t="s">
        <v>951</v>
      </c>
      <c r="G29" s="4">
        <v>52031</v>
      </c>
    </row>
    <row r="30" spans="1:7">
      <c r="A30" s="8">
        <v>23</v>
      </c>
      <c r="B30" s="71">
        <v>5301</v>
      </c>
      <c r="C30" s="71" t="s">
        <v>952</v>
      </c>
      <c r="D30" s="8" t="s">
        <v>953</v>
      </c>
      <c r="E30" s="8" t="s">
        <v>2078</v>
      </c>
      <c r="F30" s="72" t="s">
        <v>1951</v>
      </c>
      <c r="G30" s="4">
        <v>53011</v>
      </c>
    </row>
    <row r="31" spans="1:7">
      <c r="A31" s="8">
        <v>24</v>
      </c>
      <c r="B31" s="71">
        <v>5302</v>
      </c>
      <c r="C31" s="71" t="s">
        <v>954</v>
      </c>
      <c r="D31" s="8" t="s">
        <v>955</v>
      </c>
      <c r="E31" s="8" t="s">
        <v>956</v>
      </c>
      <c r="F31" s="72" t="s">
        <v>957</v>
      </c>
      <c r="G31" s="4">
        <v>53021</v>
      </c>
    </row>
    <row r="32" spans="1:7" ht="15" customHeight="1">
      <c r="A32" s="8">
        <v>25</v>
      </c>
      <c r="B32" s="71">
        <v>5303</v>
      </c>
      <c r="C32" s="71" t="s">
        <v>958</v>
      </c>
      <c r="D32" s="8" t="s">
        <v>959</v>
      </c>
      <c r="E32" s="8" t="s">
        <v>960</v>
      </c>
      <c r="F32" s="72" t="s">
        <v>961</v>
      </c>
      <c r="G32" s="4">
        <v>53031</v>
      </c>
    </row>
    <row r="33" spans="1:7">
      <c r="A33" s="8">
        <v>26</v>
      </c>
      <c r="B33" s="71">
        <v>6101</v>
      </c>
      <c r="C33" s="71" t="s">
        <v>962</v>
      </c>
      <c r="D33" s="8" t="s">
        <v>963</v>
      </c>
      <c r="E33" s="8" t="s">
        <v>964</v>
      </c>
      <c r="F33" s="74" t="s">
        <v>965</v>
      </c>
      <c r="G33" s="4">
        <v>61011</v>
      </c>
    </row>
    <row r="34" spans="1:7">
      <c r="A34" s="8">
        <v>27</v>
      </c>
      <c r="B34" s="71">
        <v>6102</v>
      </c>
      <c r="C34" s="71" t="s">
        <v>966</v>
      </c>
      <c r="D34" s="8" t="s">
        <v>967</v>
      </c>
      <c r="E34" s="8" t="s">
        <v>968</v>
      </c>
      <c r="F34" s="74" t="s">
        <v>969</v>
      </c>
      <c r="G34" s="4">
        <v>61021</v>
      </c>
    </row>
    <row r="35" spans="1:7">
      <c r="A35" s="8">
        <v>28</v>
      </c>
      <c r="B35" s="71">
        <v>6201</v>
      </c>
      <c r="C35" s="71" t="s">
        <v>970</v>
      </c>
      <c r="D35" s="8" t="s">
        <v>971</v>
      </c>
      <c r="E35" s="8" t="s">
        <v>972</v>
      </c>
      <c r="F35" s="74" t="s">
        <v>973</v>
      </c>
      <c r="G35" s="4">
        <v>62011</v>
      </c>
    </row>
    <row r="36" spans="1:7">
      <c r="A36" s="8">
        <v>29</v>
      </c>
      <c r="B36" s="71">
        <v>6301</v>
      </c>
      <c r="C36" s="71" t="s">
        <v>974</v>
      </c>
      <c r="D36" s="8" t="s">
        <v>975</v>
      </c>
      <c r="E36" s="8" t="s">
        <v>976</v>
      </c>
      <c r="F36" s="74" t="s">
        <v>977</v>
      </c>
      <c r="G36" s="4">
        <v>63011</v>
      </c>
    </row>
  </sheetData>
  <phoneticPr fontId="15" type="noConversion"/>
  <conditionalFormatting sqref="B6">
    <cfRule type="containsText" dxfId="288" priority="12" operator="containsText" text="请填写">
      <formula>NOT(ISERROR(SEARCH("请填写",B6)))</formula>
    </cfRule>
  </conditionalFormatting>
  <conditionalFormatting sqref="A3:A7">
    <cfRule type="containsText" dxfId="287" priority="18" operator="containsText" text="请填写">
      <formula>NOT(ISERROR(SEARCH("请填写",A3)))</formula>
    </cfRule>
  </conditionalFormatting>
  <conditionalFormatting sqref="C3:C7">
    <cfRule type="containsText" dxfId="286" priority="16" operator="containsText" text="请填写">
      <formula>NOT(ISERROR(SEARCH("请填写",C3)))</formula>
    </cfRule>
  </conditionalFormatting>
  <conditionalFormatting sqref="D3:D7">
    <cfRule type="containsText" dxfId="285" priority="15" operator="containsText" text="请填写">
      <formula>NOT(ISERROR(SEARCH("请填写",D3)))</formula>
    </cfRule>
  </conditionalFormatting>
  <conditionalFormatting sqref="E3:E7">
    <cfRule type="containsText" dxfId="284" priority="14" operator="containsText" text="请填写">
      <formula>NOT(ISERROR(SEARCH("请填写",E3)))</formula>
    </cfRule>
  </conditionalFormatting>
  <conditionalFormatting sqref="F3:F7">
    <cfRule type="containsText" dxfId="283" priority="11" operator="containsText" text="请填写">
      <formula>NOT(ISERROR(SEARCH("请填写",F3)))</formula>
    </cfRule>
    <cfRule type="containsText" dxfId="282" priority="13" operator="containsText" text="请填写">
      <formula>NOT(ISERROR(SEARCH("请填写",F3)))</formula>
    </cfRule>
  </conditionalFormatting>
  <conditionalFormatting sqref="B3:B5 B7">
    <cfRule type="containsText" dxfId="281" priority="17" operator="containsText" text="请填写">
      <formula>NOT(ISERROR(SEARCH("请填写",B3)))</formula>
    </cfRule>
  </conditionalFormatting>
  <conditionalFormatting sqref="G3">
    <cfRule type="containsText" dxfId="280" priority="9" operator="containsText" text="请填写">
      <formula>NOT(ISERROR(SEARCH("请填写",G3)))</formula>
    </cfRule>
    <cfRule type="containsText" dxfId="279" priority="10" operator="containsText" text="请填写">
      <formula>NOT(ISERROR(SEARCH("请填写",G3)))</formula>
    </cfRule>
  </conditionalFormatting>
  <conditionalFormatting sqref="G4">
    <cfRule type="containsText" dxfId="278" priority="7" operator="containsText" text="请填写">
      <formula>NOT(ISERROR(SEARCH("请填写",G4)))</formula>
    </cfRule>
    <cfRule type="containsText" dxfId="277" priority="8" operator="containsText" text="请填写">
      <formula>NOT(ISERROR(SEARCH("请填写",G4)))</formula>
    </cfRule>
  </conditionalFormatting>
  <conditionalFormatting sqref="G5:G7">
    <cfRule type="containsText" dxfId="276" priority="5" operator="containsText" text="请填写">
      <formula>NOT(ISERROR(SEARCH("请填写",G5)))</formula>
    </cfRule>
    <cfRule type="containsText" dxfId="275" priority="6" operator="containsText" text="请填写">
      <formula>NOT(ISERROR(SEARCH("请填写",G5)))</formula>
    </cfRule>
  </conditionalFormatting>
  <conditionalFormatting sqref="B8:C36">
    <cfRule type="expression" dxfId="274" priority="1">
      <formula>IF($G8=3,1,0)</formula>
    </cfRule>
    <cfRule type="expression" dxfId="273" priority="2">
      <formula>IF($G8=6,1,0)</formula>
    </cfRule>
    <cfRule type="expression" dxfId="272" priority="3">
      <formula>IF($G8=5,1,0)</formula>
    </cfRule>
    <cfRule type="expression" dxfId="271" priority="4">
      <formula>IF($G8=4,1,0)</formula>
    </cfRule>
  </conditionalFormatting>
  <conditionalFormatting sqref="F9">
    <cfRule type="expression" dxfId="270" priority="19">
      <formula>IF(#REF!=5,TRUE,FALSE)</formula>
    </cfRule>
    <cfRule type="expression" dxfId="269" priority="20">
      <formula>IF(#REF!=4,TRUE,FALSE)</formula>
    </cfRule>
    <cfRule type="expression" dxfId="268" priority="21">
      <formula>IF(#REF!=3,TRUE,FALSE)</formula>
    </cfRule>
    <cfRule type="expression" dxfId="267" priority="22">
      <formula>IF(#REF!=2,TRUE,FALSE)</formula>
    </cfRule>
    <cfRule type="expression" dxfId="266" priority="23">
      <formula>IF(#REF!=1,TRUE,FALSE)</formula>
    </cfRule>
  </conditionalFormatting>
  <conditionalFormatting sqref="C37:C1048576 C1:C7">
    <cfRule type="duplicateValues" dxfId="265" priority="24"/>
  </conditionalFormatting>
  <conditionalFormatting sqref="B37:B1048576 B1:B7">
    <cfRule type="duplicateValues" dxfId="264" priority="25"/>
    <cfRule type="duplicateValues" dxfId="263" priority="26"/>
  </conditionalFormatting>
  <conditionalFormatting sqref="B37:B1048576 B1:B7">
    <cfRule type="duplicateValues" dxfId="262" priority="27"/>
  </conditionalFormatting>
  <conditionalFormatting sqref="B37:B1048576 B1:B7">
    <cfRule type="duplicateValues" dxfId="261" priority="28"/>
    <cfRule type="duplicateValues" dxfId="260" priority="29"/>
  </conditionalFormatting>
  <conditionalFormatting sqref="E1:E1048576">
    <cfRule type="duplicateValues" dxfId="259" priority="30"/>
    <cfRule type="duplicateValues" dxfId="258" priority="31"/>
  </conditionalFormatting>
  <dataValidations count="2">
    <dataValidation type="list" allowBlank="1" showInputMessage="1" showErrorMessage="1" sqref="A4:G4" xr:uid="{00000000-0002-0000-0200-000000000000}">
      <formula1>"All,Server,Client,None"</formula1>
    </dataValidation>
    <dataValidation type="list" allowBlank="1" showInputMessage="1" showErrorMessage="1" sqref="A3:G3" xr:uid="{00000000-0002-0000-0200-000001000000}">
      <formula1>"string,string[],transtring,transtring[],float,float[],uint32,uint32[],bool,bool[],int32,int32[],[uint=uint],[uint=int],[uint=float],[uint=string],[int=uint],[int=int],[int=float],[int=string],[string=uint],[string=int],[string=float],[string=string]"</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3" tint="-0.249977111117893"/>
  </sheetPr>
  <dimension ref="A1:E14"/>
  <sheetViews>
    <sheetView workbookViewId="0">
      <pane xSplit="3" ySplit="7" topLeftCell="D8" activePane="bottomRight" state="frozenSplit"/>
      <selection pane="topRight"/>
      <selection pane="bottomLeft"/>
      <selection pane="bottomRight" activeCell="C17" sqref="C17"/>
    </sheetView>
  </sheetViews>
  <sheetFormatPr defaultColWidth="9" defaultRowHeight="13.5"/>
  <cols>
    <col min="2" max="2" width="26.125" customWidth="1"/>
    <col min="3" max="3" width="13" customWidth="1"/>
    <col min="4" max="4" width="12.25" customWidth="1"/>
    <col min="5" max="5" width="17.5" customWidth="1"/>
  </cols>
  <sheetData>
    <row r="1" spans="1:5" ht="27">
      <c r="A1" s="1" t="s">
        <v>36</v>
      </c>
      <c r="B1" s="2" t="s">
        <v>37</v>
      </c>
      <c r="C1" s="3" t="s">
        <v>38</v>
      </c>
      <c r="D1" s="3" t="s">
        <v>39</v>
      </c>
      <c r="E1" s="1" t="s">
        <v>40</v>
      </c>
    </row>
    <row r="2" spans="1:5" ht="14.25">
      <c r="A2" s="1" t="s">
        <v>41</v>
      </c>
      <c r="B2" s="2" t="s">
        <v>42</v>
      </c>
      <c r="C2" s="3" t="s">
        <v>43</v>
      </c>
      <c r="D2" s="3" t="s">
        <v>44</v>
      </c>
      <c r="E2" s="1" t="s">
        <v>45</v>
      </c>
    </row>
    <row r="3" spans="1:5">
      <c r="A3" s="1" t="s">
        <v>46</v>
      </c>
      <c r="B3" s="3" t="s">
        <v>47</v>
      </c>
      <c r="C3" s="3" t="s">
        <v>47</v>
      </c>
      <c r="D3" s="3" t="s">
        <v>47</v>
      </c>
      <c r="E3" s="1" t="s">
        <v>47</v>
      </c>
    </row>
    <row r="4" spans="1:5">
      <c r="A4" s="1" t="s">
        <v>48</v>
      </c>
      <c r="B4" s="3" t="s">
        <v>49</v>
      </c>
      <c r="C4" s="3" t="s">
        <v>49</v>
      </c>
      <c r="D4" s="3" t="s">
        <v>50</v>
      </c>
      <c r="E4" s="1" t="s">
        <v>49</v>
      </c>
    </row>
    <row r="5" spans="1:5">
      <c r="A5" s="1" t="s">
        <v>51</v>
      </c>
      <c r="B5" s="3"/>
      <c r="C5" s="3"/>
      <c r="D5" s="3"/>
      <c r="E5" s="1"/>
    </row>
    <row r="6" spans="1:5" ht="40.5">
      <c r="A6" s="1" t="s">
        <v>52</v>
      </c>
      <c r="B6" s="3"/>
      <c r="C6" s="3"/>
      <c r="D6" s="3"/>
      <c r="E6" s="1"/>
    </row>
    <row r="7" spans="1:5">
      <c r="A7" s="1" t="s">
        <v>8</v>
      </c>
      <c r="B7" s="3" t="s">
        <v>8</v>
      </c>
      <c r="C7" s="3" t="s">
        <v>8</v>
      </c>
      <c r="D7" s="3" t="s">
        <v>8</v>
      </c>
      <c r="E7" s="1" t="s">
        <v>53</v>
      </c>
    </row>
    <row r="8" spans="1:5">
      <c r="A8" s="63">
        <v>1</v>
      </c>
      <c r="B8" s="63" t="s">
        <v>604</v>
      </c>
      <c r="C8" s="63" t="s">
        <v>54</v>
      </c>
      <c r="D8" s="63" t="s">
        <v>55</v>
      </c>
      <c r="E8" s="63" t="s">
        <v>13</v>
      </c>
    </row>
    <row r="9" spans="1:5">
      <c r="A9" s="63">
        <v>2</v>
      </c>
      <c r="B9" s="63" t="s">
        <v>605</v>
      </c>
      <c r="C9" s="63" t="s">
        <v>983</v>
      </c>
      <c r="D9" s="63" t="s">
        <v>12</v>
      </c>
      <c r="E9" s="63" t="s">
        <v>784</v>
      </c>
    </row>
    <row r="10" spans="1:5">
      <c r="A10" s="4">
        <v>3</v>
      </c>
      <c r="B10" s="4" t="s">
        <v>606</v>
      </c>
      <c r="C10" s="4" t="s">
        <v>56</v>
      </c>
      <c r="D10" s="4" t="s">
        <v>27</v>
      </c>
      <c r="E10" s="4" t="s">
        <v>57</v>
      </c>
    </row>
    <row r="11" spans="1:5">
      <c r="A11" s="4">
        <v>4</v>
      </c>
      <c r="B11" s="4" t="s">
        <v>607</v>
      </c>
      <c r="C11" s="4" t="s">
        <v>58</v>
      </c>
      <c r="D11" s="4" t="s">
        <v>59</v>
      </c>
      <c r="E11" s="4" t="s">
        <v>60</v>
      </c>
    </row>
    <row r="12" spans="1:5">
      <c r="A12" s="4">
        <v>5</v>
      </c>
      <c r="B12" s="4" t="s">
        <v>1876</v>
      </c>
      <c r="C12" s="4" t="s">
        <v>1676</v>
      </c>
      <c r="D12" s="4" t="s">
        <v>1453</v>
      </c>
      <c r="E12" s="4" t="s">
        <v>1454</v>
      </c>
    </row>
    <row r="13" spans="1:5">
      <c r="A13" s="4">
        <v>6</v>
      </c>
      <c r="B13" s="4" t="s">
        <v>608</v>
      </c>
      <c r="C13" s="62" t="s">
        <v>61</v>
      </c>
      <c r="D13" s="62" t="s">
        <v>62</v>
      </c>
      <c r="E13" s="62" t="s">
        <v>63</v>
      </c>
    </row>
    <row r="14" spans="1:5">
      <c r="A14" s="63">
        <v>7</v>
      </c>
      <c r="B14" s="63" t="s">
        <v>781</v>
      </c>
      <c r="C14" s="63" t="s">
        <v>782</v>
      </c>
      <c r="D14" s="63" t="s">
        <v>783</v>
      </c>
      <c r="E14" s="63" t="s">
        <v>785</v>
      </c>
    </row>
  </sheetData>
  <phoneticPr fontId="15" type="noConversion"/>
  <conditionalFormatting sqref="C8">
    <cfRule type="containsText" dxfId="257" priority="27" operator="containsText" text="请填写">
      <formula>NOT(ISERROR(SEARCH("请填写",C8)))</formula>
    </cfRule>
    <cfRule type="containsText" dxfId="256" priority="28" operator="containsText" text="请填写">
      <formula>NOT(ISERROR(SEARCH("请填写",C8)))</formula>
    </cfRule>
  </conditionalFormatting>
  <conditionalFormatting sqref="D8">
    <cfRule type="containsText" dxfId="255" priority="26" operator="containsText" text="请填写">
      <formula>NOT(ISERROR(SEARCH("请填写",D8)))</formula>
    </cfRule>
  </conditionalFormatting>
  <conditionalFormatting sqref="E8">
    <cfRule type="containsText" dxfId="254" priority="25" operator="containsText" text="请填写">
      <formula>NOT(ISERROR(SEARCH("请填写",E8)))</formula>
    </cfRule>
  </conditionalFormatting>
  <conditionalFormatting sqref="C9">
    <cfRule type="containsText" dxfId="253" priority="20" operator="containsText" text="请填写">
      <formula>NOT(ISERROR(SEARCH("请填写",C9)))</formula>
    </cfRule>
    <cfRule type="containsText" dxfId="252" priority="21" operator="containsText" text="请填写">
      <formula>NOT(ISERROR(SEARCH("请填写",C9)))</formula>
    </cfRule>
  </conditionalFormatting>
  <conditionalFormatting sqref="D9">
    <cfRule type="containsText" dxfId="251" priority="19" operator="containsText" text="请填写">
      <formula>NOT(ISERROR(SEARCH("请填写",D9)))</formula>
    </cfRule>
  </conditionalFormatting>
  <conditionalFormatting sqref="E9">
    <cfRule type="containsText" dxfId="250" priority="18" operator="containsText" text="请填写">
      <formula>NOT(ISERROR(SEARCH("请填写",E9)))</formula>
    </cfRule>
  </conditionalFormatting>
  <conditionalFormatting sqref="E11">
    <cfRule type="containsText" dxfId="249" priority="11" operator="containsText" text="请填写">
      <formula>NOT(ISERROR(SEARCH("请填写",E11)))</formula>
    </cfRule>
  </conditionalFormatting>
  <conditionalFormatting sqref="C12">
    <cfRule type="containsText" dxfId="248" priority="6" operator="containsText" text="请填写">
      <formula>NOT(ISERROR(SEARCH("请填写",C12)))</formula>
    </cfRule>
    <cfRule type="containsText" dxfId="247" priority="7" operator="containsText" text="请填写">
      <formula>NOT(ISERROR(SEARCH("请填写",C12)))</formula>
    </cfRule>
  </conditionalFormatting>
  <conditionalFormatting sqref="D12">
    <cfRule type="containsText" dxfId="246" priority="5" operator="containsText" text="请填写">
      <formula>NOT(ISERROR(SEARCH("请填写",D12)))</formula>
    </cfRule>
  </conditionalFormatting>
  <conditionalFormatting sqref="E12">
    <cfRule type="containsText" dxfId="245" priority="4" operator="containsText" text="请填写">
      <formula>NOT(ISERROR(SEARCH("请填写",E12)))</formula>
    </cfRule>
  </conditionalFormatting>
  <conditionalFormatting sqref="A3:A7">
    <cfRule type="containsText" dxfId="244" priority="84" operator="containsText" text="请填写">
      <formula>NOT(ISERROR(SEARCH("请填写",A3)))</formula>
    </cfRule>
  </conditionalFormatting>
  <conditionalFormatting sqref="B1:B2">
    <cfRule type="duplicateValues" dxfId="243" priority="74"/>
  </conditionalFormatting>
  <conditionalFormatting sqref="B3:B7">
    <cfRule type="containsText" dxfId="242" priority="75" operator="containsText" text="请填写">
      <formula>NOT(ISERROR(SEARCH("请填写",B3)))</formula>
    </cfRule>
    <cfRule type="containsText" dxfId="241" priority="76" operator="containsText" text="请填写">
      <formula>NOT(ISERROR(SEARCH("请填写",B3)))</formula>
    </cfRule>
    <cfRule type="containsText" dxfId="240" priority="77" operator="containsText" text="请填写">
      <formula>NOT(ISERROR(SEARCH("请填写",B3)))</formula>
    </cfRule>
  </conditionalFormatting>
  <conditionalFormatting sqref="B8:B14">
    <cfRule type="containsText" dxfId="239" priority="63" operator="containsText" text="请填写">
      <formula>NOT(ISERROR(SEARCH("请填写",B8)))</formula>
    </cfRule>
    <cfRule type="containsText" dxfId="238" priority="64" operator="containsText" text="请填写">
      <formula>NOT(ISERROR(SEARCH("请填写",B8)))</formula>
    </cfRule>
    <cfRule type="containsText" dxfId="237" priority="65" operator="containsText" text="请填写">
      <formula>NOT(ISERROR(SEARCH("请填写",B8)))</formula>
    </cfRule>
  </conditionalFormatting>
  <conditionalFormatting sqref="C3:C7">
    <cfRule type="containsText" dxfId="236" priority="73" operator="containsText" text="请填写">
      <formula>NOT(ISERROR(SEARCH("请填写",C3)))</formula>
    </cfRule>
  </conditionalFormatting>
  <conditionalFormatting sqref="D3:D7">
    <cfRule type="containsText" dxfId="235" priority="72" operator="containsText" text="请填写">
      <formula>NOT(ISERROR(SEARCH("请填写",D3)))</formula>
    </cfRule>
  </conditionalFormatting>
  <conditionalFormatting sqref="E3:E7">
    <cfRule type="containsText" dxfId="234" priority="66" operator="containsText" text="请填写">
      <formula>NOT(ISERROR(SEARCH("请填写",E3)))</formula>
    </cfRule>
    <cfRule type="containsText" dxfId="233" priority="67" operator="containsText" text="请填写">
      <formula>NOT(ISERROR(SEARCH("请填写",E3)))</formula>
    </cfRule>
    <cfRule type="containsText" dxfId="232" priority="69" operator="containsText" text="请填写">
      <formula>NOT(ISERROR(SEARCH("请填写",E3)))</formula>
    </cfRule>
  </conditionalFormatting>
  <dataValidations count="2">
    <dataValidation type="list" allowBlank="1" showInputMessage="1" showErrorMessage="1" sqref="A3:E3" xr:uid="{00000000-0002-0000-03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E4" xr:uid="{00000000-0002-0000-0300-000001000000}">
      <formula1>"All,Server,Client,None"</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3" tint="-0.249977111117893"/>
  </sheetPr>
  <dimension ref="A1:G507"/>
  <sheetViews>
    <sheetView topLeftCell="A39" zoomScaleNormal="100" workbookViewId="0">
      <selection activeCell="AA71" sqref="AA71"/>
    </sheetView>
  </sheetViews>
  <sheetFormatPr defaultRowHeight="13.5"/>
  <cols>
    <col min="1" max="3" width="9.75" bestFit="1" customWidth="1"/>
    <col min="4" max="4" width="43.875" bestFit="1" customWidth="1"/>
    <col min="5" max="5" width="14.125" bestFit="1" customWidth="1"/>
  </cols>
  <sheetData>
    <row r="1" spans="1:7">
      <c r="A1" s="65" t="s">
        <v>820</v>
      </c>
      <c r="B1" s="65" t="s">
        <v>805</v>
      </c>
      <c r="C1" s="65" t="s">
        <v>806</v>
      </c>
      <c r="D1" s="64" t="s">
        <v>800</v>
      </c>
      <c r="E1" t="s">
        <v>807</v>
      </c>
    </row>
    <row r="2" spans="1:7">
      <c r="A2" s="65" t="s">
        <v>820</v>
      </c>
      <c r="B2" s="65" t="s">
        <v>821</v>
      </c>
      <c r="C2" s="65" t="s">
        <v>823</v>
      </c>
      <c r="D2" s="64" t="s">
        <v>825</v>
      </c>
    </row>
    <row r="3" spans="1:7">
      <c r="A3" s="65" t="s">
        <v>46</v>
      </c>
      <c r="B3" s="65" t="s">
        <v>46</v>
      </c>
      <c r="C3" s="65" t="s">
        <v>46</v>
      </c>
      <c r="D3" s="64" t="s">
        <v>824</v>
      </c>
    </row>
    <row r="4" spans="1:7">
      <c r="A4" s="65" t="s">
        <v>48</v>
      </c>
      <c r="B4" s="65" t="s">
        <v>48</v>
      </c>
      <c r="C4" s="65" t="s">
        <v>48</v>
      </c>
      <c r="D4" s="64" t="s">
        <v>48</v>
      </c>
    </row>
    <row r="5" spans="1:7" ht="81">
      <c r="A5" s="65" t="s">
        <v>794</v>
      </c>
      <c r="B5" s="65" t="s">
        <v>794</v>
      </c>
      <c r="C5" s="65" t="s">
        <v>808</v>
      </c>
      <c r="D5" s="64" t="s">
        <v>803</v>
      </c>
    </row>
    <row r="6" spans="1:7" ht="27">
      <c r="A6" s="65" t="s">
        <v>795</v>
      </c>
      <c r="B6" s="65" t="s">
        <v>795</v>
      </c>
      <c r="C6" s="65" t="s">
        <v>795</v>
      </c>
      <c r="D6" s="64" t="s">
        <v>795</v>
      </c>
    </row>
    <row r="7" spans="1:7">
      <c r="A7" s="65" t="s">
        <v>796</v>
      </c>
      <c r="B7" s="65" t="s">
        <v>822</v>
      </c>
      <c r="C7" s="65" t="s">
        <v>822</v>
      </c>
      <c r="D7" s="64" t="s">
        <v>822</v>
      </c>
    </row>
    <row r="8" spans="1:7">
      <c r="A8" s="4">
        <v>1</v>
      </c>
      <c r="B8" s="4">
        <v>1</v>
      </c>
      <c r="C8" s="4">
        <v>1</v>
      </c>
      <c r="D8" s="66" t="s">
        <v>1964</v>
      </c>
      <c r="E8" s="4" t="s">
        <v>826</v>
      </c>
      <c r="F8">
        <f>VLOOKUP(B8,[1]Base!$A$8:$U$66,21,FALSE)</f>
        <v>4</v>
      </c>
      <c r="G8">
        <f>F8*100+C8</f>
        <v>401</v>
      </c>
    </row>
    <row r="9" spans="1:7">
      <c r="A9" s="4">
        <v>2</v>
      </c>
      <c r="B9" s="4">
        <v>1</v>
      </c>
      <c r="C9" s="4">
        <v>2</v>
      </c>
      <c r="D9" s="66" t="s">
        <v>1041</v>
      </c>
      <c r="E9" s="4" t="s">
        <v>809</v>
      </c>
      <c r="F9">
        <f>VLOOKUP(B9,[1]Base!$A$8:$U$66,21,FALSE)</f>
        <v>4</v>
      </c>
      <c r="G9">
        <f t="shared" ref="G9:G72" si="0">F9*100+C9</f>
        <v>402</v>
      </c>
    </row>
    <row r="10" spans="1:7">
      <c r="A10" s="4">
        <v>3</v>
      </c>
      <c r="B10" s="4">
        <v>1</v>
      </c>
      <c r="C10" s="4">
        <v>3</v>
      </c>
      <c r="D10" s="66" t="s">
        <v>1964</v>
      </c>
      <c r="E10" s="4" t="s">
        <v>810</v>
      </c>
      <c r="F10">
        <f>VLOOKUP(B10,[1]Base!$A$8:$U$66,21,FALSE)</f>
        <v>4</v>
      </c>
      <c r="G10">
        <f t="shared" si="0"/>
        <v>403</v>
      </c>
    </row>
    <row r="11" spans="1:7">
      <c r="A11" s="4">
        <v>4</v>
      </c>
      <c r="B11" s="4">
        <v>1</v>
      </c>
      <c r="C11" s="4">
        <v>4</v>
      </c>
      <c r="D11" s="66" t="s">
        <v>1041</v>
      </c>
      <c r="E11" s="4" t="s">
        <v>811</v>
      </c>
      <c r="F11">
        <f>VLOOKUP(B11,[1]Base!$A$8:$U$66,21,FALSE)</f>
        <v>4</v>
      </c>
      <c r="G11">
        <f t="shared" si="0"/>
        <v>404</v>
      </c>
    </row>
    <row r="12" spans="1:7">
      <c r="A12" s="4">
        <v>5</v>
      </c>
      <c r="B12" s="4">
        <v>1</v>
      </c>
      <c r="C12" s="4">
        <v>5</v>
      </c>
      <c r="D12" s="66" t="s">
        <v>1965</v>
      </c>
      <c r="E12" s="4" t="s">
        <v>812</v>
      </c>
      <c r="F12">
        <f>VLOOKUP(B12,[1]Base!$A$8:$U$66,21,FALSE)</f>
        <v>4</v>
      </c>
      <c r="G12">
        <f t="shared" si="0"/>
        <v>405</v>
      </c>
    </row>
    <row r="13" spans="1:7">
      <c r="A13" s="4">
        <v>6</v>
      </c>
      <c r="B13" s="4">
        <v>1</v>
      </c>
      <c r="C13" s="4">
        <v>6</v>
      </c>
      <c r="D13" s="66" t="s">
        <v>1042</v>
      </c>
      <c r="E13" s="4" t="s">
        <v>814</v>
      </c>
      <c r="F13">
        <f>VLOOKUP(B13,[1]Base!$A$8:$U$66,21,FALSE)</f>
        <v>4</v>
      </c>
      <c r="G13">
        <f t="shared" si="0"/>
        <v>406</v>
      </c>
    </row>
    <row r="14" spans="1:7">
      <c r="A14" s="4">
        <v>7</v>
      </c>
      <c r="B14" s="4">
        <v>1</v>
      </c>
      <c r="C14" s="4">
        <v>7</v>
      </c>
      <c r="D14" s="66" t="s">
        <v>1965</v>
      </c>
      <c r="E14" s="4" t="s">
        <v>815</v>
      </c>
      <c r="F14">
        <f>VLOOKUP(B14,[1]Base!$A$8:$U$66,21,FALSE)</f>
        <v>4</v>
      </c>
      <c r="G14">
        <f t="shared" si="0"/>
        <v>407</v>
      </c>
    </row>
    <row r="15" spans="1:7">
      <c r="A15" s="4">
        <v>8</v>
      </c>
      <c r="B15">
        <v>1</v>
      </c>
      <c r="C15" s="4">
        <v>8</v>
      </c>
      <c r="D15" s="66" t="s">
        <v>1043</v>
      </c>
      <c r="E15" s="4" t="s">
        <v>816</v>
      </c>
      <c r="F15">
        <f>VLOOKUP(B15,[1]Base!$A$8:$U$66,21,FALSE)</f>
        <v>4</v>
      </c>
      <c r="G15">
        <f t="shared" si="0"/>
        <v>408</v>
      </c>
    </row>
    <row r="16" spans="1:7">
      <c r="A16" s="4">
        <v>9</v>
      </c>
      <c r="B16" s="4">
        <v>1</v>
      </c>
      <c r="C16" s="4">
        <v>9</v>
      </c>
      <c r="D16" s="66" t="s">
        <v>1966</v>
      </c>
      <c r="E16" s="4" t="s">
        <v>817</v>
      </c>
      <c r="F16">
        <f>VLOOKUP(B16,[1]Base!$A$8:$U$66,21,FALSE)</f>
        <v>4</v>
      </c>
      <c r="G16">
        <f t="shared" si="0"/>
        <v>409</v>
      </c>
    </row>
    <row r="17" spans="1:7">
      <c r="A17" s="4">
        <v>10</v>
      </c>
      <c r="B17" s="4">
        <v>1</v>
      </c>
      <c r="C17" s="4">
        <v>10</v>
      </c>
      <c r="D17" s="66" t="s">
        <v>1044</v>
      </c>
      <c r="E17" s="4" t="s">
        <v>818</v>
      </c>
      <c r="F17">
        <f>VLOOKUP(B17,[1]Base!$A$8:$U$66,21,FALSE)</f>
        <v>4</v>
      </c>
      <c r="G17">
        <f t="shared" si="0"/>
        <v>410</v>
      </c>
    </row>
    <row r="18" spans="1:7">
      <c r="A18" s="4">
        <v>11</v>
      </c>
      <c r="B18" s="4">
        <v>2</v>
      </c>
      <c r="C18" s="4">
        <v>1</v>
      </c>
      <c r="D18" s="66" t="s">
        <v>1964</v>
      </c>
      <c r="E18" s="4" t="s">
        <v>826</v>
      </c>
      <c r="F18">
        <f>VLOOKUP(B18,[1]Base!$A$8:$U$66,21,FALSE)</f>
        <v>4</v>
      </c>
      <c r="G18">
        <f t="shared" si="0"/>
        <v>401</v>
      </c>
    </row>
    <row r="19" spans="1:7">
      <c r="A19" s="4">
        <v>12</v>
      </c>
      <c r="B19" s="4">
        <v>2</v>
      </c>
      <c r="C19" s="4">
        <v>2</v>
      </c>
      <c r="D19" s="66" t="s">
        <v>1041</v>
      </c>
      <c r="E19" s="4" t="s">
        <v>809</v>
      </c>
      <c r="F19">
        <f>VLOOKUP(B19,[1]Base!$A$8:$U$66,21,FALSE)</f>
        <v>4</v>
      </c>
      <c r="G19">
        <f t="shared" si="0"/>
        <v>402</v>
      </c>
    </row>
    <row r="20" spans="1:7">
      <c r="A20" s="4">
        <v>13</v>
      </c>
      <c r="B20" s="4">
        <v>2</v>
      </c>
      <c r="C20" s="4">
        <v>3</v>
      </c>
      <c r="D20" s="66" t="s">
        <v>1964</v>
      </c>
      <c r="E20" s="4" t="s">
        <v>810</v>
      </c>
      <c r="F20">
        <f>VLOOKUP(B20,[1]Base!$A$8:$U$66,21,FALSE)</f>
        <v>4</v>
      </c>
      <c r="G20">
        <f t="shared" si="0"/>
        <v>403</v>
      </c>
    </row>
    <row r="21" spans="1:7">
      <c r="A21" s="4">
        <v>14</v>
      </c>
      <c r="B21" s="4">
        <v>2</v>
      </c>
      <c r="C21" s="4">
        <v>4</v>
      </c>
      <c r="D21" s="66" t="s">
        <v>1041</v>
      </c>
      <c r="E21" s="4" t="s">
        <v>811</v>
      </c>
      <c r="F21">
        <f>VLOOKUP(B21,[1]Base!$A$8:$U$66,21,FALSE)</f>
        <v>4</v>
      </c>
      <c r="G21">
        <f t="shared" si="0"/>
        <v>404</v>
      </c>
    </row>
    <row r="22" spans="1:7">
      <c r="A22" s="4">
        <v>15</v>
      </c>
      <c r="B22">
        <v>2</v>
      </c>
      <c r="C22" s="4">
        <v>5</v>
      </c>
      <c r="D22" s="66" t="s">
        <v>1965</v>
      </c>
      <c r="E22" t="s">
        <v>812</v>
      </c>
      <c r="F22">
        <f>VLOOKUP(B22,[1]Base!$A$8:$U$66,21,FALSE)</f>
        <v>4</v>
      </c>
      <c r="G22">
        <f t="shared" si="0"/>
        <v>405</v>
      </c>
    </row>
    <row r="23" spans="1:7">
      <c r="A23" s="4">
        <v>16</v>
      </c>
      <c r="B23" s="4">
        <v>2</v>
      </c>
      <c r="C23" s="4">
        <v>6</v>
      </c>
      <c r="D23" s="66" t="s">
        <v>1042</v>
      </c>
      <c r="E23" s="4" t="s">
        <v>813</v>
      </c>
      <c r="F23">
        <f>VLOOKUP(B23,[1]Base!$A$8:$U$66,21,FALSE)</f>
        <v>4</v>
      </c>
      <c r="G23">
        <f t="shared" si="0"/>
        <v>406</v>
      </c>
    </row>
    <row r="24" spans="1:7">
      <c r="A24" s="4">
        <v>17</v>
      </c>
      <c r="B24" s="4">
        <v>2</v>
      </c>
      <c r="C24" s="4">
        <v>7</v>
      </c>
      <c r="D24" s="66" t="s">
        <v>1965</v>
      </c>
      <c r="E24" s="4" t="s">
        <v>814</v>
      </c>
      <c r="F24">
        <f>VLOOKUP(B24,[1]Base!$A$8:$U$66,21,FALSE)</f>
        <v>4</v>
      </c>
      <c r="G24">
        <f t="shared" si="0"/>
        <v>407</v>
      </c>
    </row>
    <row r="25" spans="1:7">
      <c r="A25" s="4">
        <v>18</v>
      </c>
      <c r="B25" s="4">
        <v>2</v>
      </c>
      <c r="C25" s="4">
        <v>8</v>
      </c>
      <c r="D25" s="66" t="s">
        <v>1043</v>
      </c>
      <c r="E25" s="4" t="s">
        <v>815</v>
      </c>
      <c r="F25">
        <f>VLOOKUP(B25,[1]Base!$A$8:$U$66,21,FALSE)</f>
        <v>4</v>
      </c>
      <c r="G25">
        <f t="shared" si="0"/>
        <v>408</v>
      </c>
    </row>
    <row r="26" spans="1:7">
      <c r="A26" s="4">
        <v>19</v>
      </c>
      <c r="B26" s="4">
        <v>2</v>
      </c>
      <c r="C26" s="4">
        <v>9</v>
      </c>
      <c r="D26" s="66" t="s">
        <v>1966</v>
      </c>
      <c r="E26" s="4" t="s">
        <v>816</v>
      </c>
      <c r="F26">
        <f>VLOOKUP(B26,[1]Base!$A$8:$U$66,21,FALSE)</f>
        <v>4</v>
      </c>
      <c r="G26">
        <f t="shared" si="0"/>
        <v>409</v>
      </c>
    </row>
    <row r="27" spans="1:7">
      <c r="A27" s="4">
        <v>20</v>
      </c>
      <c r="B27" s="4">
        <v>2</v>
      </c>
      <c r="C27" s="4">
        <v>10</v>
      </c>
      <c r="D27" s="66" t="s">
        <v>1044</v>
      </c>
      <c r="E27" s="4" t="s">
        <v>817</v>
      </c>
      <c r="F27">
        <f>VLOOKUP(B27,[1]Base!$A$8:$U$66,21,FALSE)</f>
        <v>4</v>
      </c>
      <c r="G27">
        <f t="shared" si="0"/>
        <v>410</v>
      </c>
    </row>
    <row r="28" spans="1:7">
      <c r="A28" s="4">
        <v>21</v>
      </c>
      <c r="B28" s="4">
        <v>4</v>
      </c>
      <c r="C28" s="4">
        <v>1</v>
      </c>
      <c r="D28" s="66" t="s">
        <v>1967</v>
      </c>
      <c r="E28" s="4" t="s">
        <v>979</v>
      </c>
      <c r="F28">
        <f>VLOOKUP(B28,[1]Base!$A$8:$U$66,21,FALSE)</f>
        <v>3</v>
      </c>
      <c r="G28">
        <f t="shared" si="0"/>
        <v>301</v>
      </c>
    </row>
    <row r="29" spans="1:7">
      <c r="A29" s="4">
        <v>22</v>
      </c>
      <c r="B29" s="4">
        <v>4</v>
      </c>
      <c r="C29" s="4">
        <v>2</v>
      </c>
      <c r="D29" s="66" t="s">
        <v>1045</v>
      </c>
      <c r="E29" s="4" t="s">
        <v>809</v>
      </c>
      <c r="F29">
        <f>VLOOKUP(B29,[1]Base!$A$8:$U$66,21,FALSE)</f>
        <v>3</v>
      </c>
      <c r="G29">
        <f t="shared" si="0"/>
        <v>302</v>
      </c>
    </row>
    <row r="30" spans="1:7">
      <c r="A30" s="4">
        <v>23</v>
      </c>
      <c r="B30" s="4">
        <v>4</v>
      </c>
      <c r="C30" s="4">
        <v>3</v>
      </c>
      <c r="D30" s="66" t="s">
        <v>1967</v>
      </c>
      <c r="E30" s="4" t="s">
        <v>810</v>
      </c>
      <c r="F30">
        <f>VLOOKUP(B30,[1]Base!$A$8:$U$66,21,FALSE)</f>
        <v>3</v>
      </c>
      <c r="G30">
        <f t="shared" si="0"/>
        <v>303</v>
      </c>
    </row>
    <row r="31" spans="1:7">
      <c r="A31" s="4">
        <v>24</v>
      </c>
      <c r="B31" s="4">
        <v>4</v>
      </c>
      <c r="C31" s="4">
        <v>4</v>
      </c>
      <c r="D31" s="66" t="s">
        <v>1045</v>
      </c>
      <c r="E31" s="4" t="s">
        <v>811</v>
      </c>
      <c r="F31">
        <f>VLOOKUP(B31,[1]Base!$A$8:$U$66,21,FALSE)</f>
        <v>3</v>
      </c>
      <c r="G31">
        <f t="shared" si="0"/>
        <v>304</v>
      </c>
    </row>
    <row r="32" spans="1:7">
      <c r="A32" s="4">
        <v>25</v>
      </c>
      <c r="B32" s="4">
        <v>4</v>
      </c>
      <c r="C32" s="4">
        <v>5</v>
      </c>
      <c r="D32" s="66" t="s">
        <v>1964</v>
      </c>
      <c r="E32" s="4" t="s">
        <v>812</v>
      </c>
      <c r="F32">
        <f>VLOOKUP(B32,[1]Base!$A$8:$U$66,21,FALSE)</f>
        <v>3</v>
      </c>
      <c r="G32">
        <f t="shared" si="0"/>
        <v>305</v>
      </c>
    </row>
    <row r="33" spans="1:7">
      <c r="A33" s="4">
        <v>26</v>
      </c>
      <c r="B33" s="4">
        <v>4</v>
      </c>
      <c r="C33" s="4">
        <v>6</v>
      </c>
      <c r="D33" s="66" t="s">
        <v>1046</v>
      </c>
      <c r="E33" s="4" t="s">
        <v>814</v>
      </c>
      <c r="F33">
        <f>VLOOKUP(B33,[1]Base!$A$8:$U$66,21,FALSE)</f>
        <v>3</v>
      </c>
      <c r="G33">
        <f t="shared" si="0"/>
        <v>306</v>
      </c>
    </row>
    <row r="34" spans="1:7">
      <c r="A34" s="4">
        <v>27</v>
      </c>
      <c r="B34" s="4">
        <v>4</v>
      </c>
      <c r="C34" s="4">
        <v>7</v>
      </c>
      <c r="D34" s="66" t="s">
        <v>1964</v>
      </c>
      <c r="E34" s="4" t="s">
        <v>815</v>
      </c>
      <c r="F34">
        <f>VLOOKUP(B34,[1]Base!$A$8:$U$66,21,FALSE)</f>
        <v>3</v>
      </c>
      <c r="G34">
        <f t="shared" si="0"/>
        <v>307</v>
      </c>
    </row>
    <row r="35" spans="1:7">
      <c r="A35" s="4">
        <v>28</v>
      </c>
      <c r="B35" s="4">
        <v>4</v>
      </c>
      <c r="C35" s="4">
        <v>8</v>
      </c>
      <c r="D35" s="66" t="s">
        <v>1042</v>
      </c>
      <c r="E35" s="4" t="s">
        <v>816</v>
      </c>
      <c r="F35">
        <f>VLOOKUP(B35,[1]Base!$A$8:$U$66,21,FALSE)</f>
        <v>3</v>
      </c>
      <c r="G35">
        <f t="shared" si="0"/>
        <v>308</v>
      </c>
    </row>
    <row r="36" spans="1:7">
      <c r="A36" s="4">
        <v>29</v>
      </c>
      <c r="B36" s="4">
        <v>4</v>
      </c>
      <c r="C36" s="4">
        <v>9</v>
      </c>
      <c r="D36" s="66" t="s">
        <v>1965</v>
      </c>
      <c r="E36" s="4" t="s">
        <v>817</v>
      </c>
      <c r="F36">
        <f>VLOOKUP(B36,[1]Base!$A$8:$U$66,21,FALSE)</f>
        <v>3</v>
      </c>
      <c r="G36">
        <f t="shared" si="0"/>
        <v>309</v>
      </c>
    </row>
    <row r="37" spans="1:7">
      <c r="A37" s="4">
        <v>30</v>
      </c>
      <c r="B37" s="4">
        <v>4</v>
      </c>
      <c r="C37" s="4">
        <v>10</v>
      </c>
      <c r="D37" s="66" t="s">
        <v>1047</v>
      </c>
      <c r="E37" s="4" t="s">
        <v>818</v>
      </c>
      <c r="F37">
        <f>VLOOKUP(B37,[1]Base!$A$8:$U$66,21,FALSE)</f>
        <v>3</v>
      </c>
      <c r="G37">
        <f t="shared" si="0"/>
        <v>310</v>
      </c>
    </row>
    <row r="38" spans="1:7">
      <c r="A38" s="4">
        <v>31</v>
      </c>
      <c r="B38" s="4">
        <v>5</v>
      </c>
      <c r="C38" s="4">
        <v>1</v>
      </c>
      <c r="D38" s="66" t="s">
        <v>1965</v>
      </c>
      <c r="E38" s="4" t="s">
        <v>979</v>
      </c>
      <c r="F38">
        <f>VLOOKUP(B38,[1]Base!$A$8:$U$66,21,FALSE)</f>
        <v>5</v>
      </c>
      <c r="G38">
        <f t="shared" si="0"/>
        <v>501</v>
      </c>
    </row>
    <row r="39" spans="1:7">
      <c r="A39" s="4">
        <v>32</v>
      </c>
      <c r="B39" s="4">
        <v>5</v>
      </c>
      <c r="C39" s="4">
        <v>2</v>
      </c>
      <c r="D39" s="66" t="s">
        <v>2555</v>
      </c>
      <c r="E39" s="4" t="s">
        <v>809</v>
      </c>
      <c r="F39">
        <f>VLOOKUP(B39,[1]Base!$A$8:$U$66,21,FALSE)</f>
        <v>5</v>
      </c>
      <c r="G39">
        <f t="shared" si="0"/>
        <v>502</v>
      </c>
    </row>
    <row r="40" spans="1:7">
      <c r="A40" s="4">
        <v>33</v>
      </c>
      <c r="B40" s="4">
        <v>5</v>
      </c>
      <c r="C40" s="4">
        <v>3</v>
      </c>
      <c r="D40" s="66" t="s">
        <v>1965</v>
      </c>
      <c r="E40" s="4" t="s">
        <v>810</v>
      </c>
      <c r="F40">
        <f>VLOOKUP(B40,[1]Base!$A$8:$U$66,21,FALSE)</f>
        <v>5</v>
      </c>
      <c r="G40">
        <f t="shared" si="0"/>
        <v>503</v>
      </c>
    </row>
    <row r="41" spans="1:7">
      <c r="A41" s="4">
        <v>34</v>
      </c>
      <c r="B41" s="4">
        <v>5</v>
      </c>
      <c r="C41" s="4">
        <v>4</v>
      </c>
      <c r="D41" s="66" t="s">
        <v>2556</v>
      </c>
      <c r="E41" s="4" t="s">
        <v>811</v>
      </c>
      <c r="F41">
        <f>VLOOKUP(B41,[1]Base!$A$8:$U$66,21,FALSE)</f>
        <v>5</v>
      </c>
      <c r="G41">
        <f t="shared" si="0"/>
        <v>504</v>
      </c>
    </row>
    <row r="42" spans="1:7">
      <c r="A42" s="4">
        <v>35</v>
      </c>
      <c r="B42" s="4">
        <v>5</v>
      </c>
      <c r="C42" s="4">
        <v>5</v>
      </c>
      <c r="D42" s="66" t="s">
        <v>1966</v>
      </c>
      <c r="E42" s="4" t="s">
        <v>812</v>
      </c>
      <c r="F42">
        <f>VLOOKUP(B42,[1]Base!$A$8:$U$66,21,FALSE)</f>
        <v>5</v>
      </c>
      <c r="G42">
        <f t="shared" si="0"/>
        <v>505</v>
      </c>
    </row>
    <row r="43" spans="1:7">
      <c r="A43" s="4">
        <v>36</v>
      </c>
      <c r="B43" s="4">
        <v>5</v>
      </c>
      <c r="C43" s="4">
        <v>6</v>
      </c>
      <c r="D43" s="66" t="s">
        <v>2556</v>
      </c>
      <c r="E43" s="4" t="s">
        <v>814</v>
      </c>
      <c r="F43">
        <f>VLOOKUP(B43,[1]Base!$A$8:$U$66,21,FALSE)</f>
        <v>5</v>
      </c>
      <c r="G43">
        <f t="shared" si="0"/>
        <v>506</v>
      </c>
    </row>
    <row r="44" spans="1:7">
      <c r="A44" s="4">
        <v>37</v>
      </c>
      <c r="B44" s="4">
        <v>5</v>
      </c>
      <c r="C44" s="4">
        <v>7</v>
      </c>
      <c r="D44" s="66" t="s">
        <v>1966</v>
      </c>
      <c r="E44" s="4" t="s">
        <v>815</v>
      </c>
      <c r="F44">
        <f>VLOOKUP(B44,[1]Base!$A$8:$U$66,21,FALSE)</f>
        <v>5</v>
      </c>
      <c r="G44">
        <f t="shared" si="0"/>
        <v>507</v>
      </c>
    </row>
    <row r="45" spans="1:7">
      <c r="A45" s="4">
        <v>38</v>
      </c>
      <c r="B45" s="4">
        <v>5</v>
      </c>
      <c r="C45" s="4">
        <v>8</v>
      </c>
      <c r="D45" s="66" t="s">
        <v>2557</v>
      </c>
      <c r="E45" s="4" t="s">
        <v>816</v>
      </c>
      <c r="F45">
        <f>VLOOKUP(B45,[1]Base!$A$8:$U$66,21,FALSE)</f>
        <v>5</v>
      </c>
      <c r="G45">
        <f t="shared" si="0"/>
        <v>508</v>
      </c>
    </row>
    <row r="46" spans="1:7">
      <c r="A46" s="4">
        <v>39</v>
      </c>
      <c r="B46" s="4">
        <v>5</v>
      </c>
      <c r="C46" s="4">
        <v>9</v>
      </c>
      <c r="D46" s="66" t="s">
        <v>1968</v>
      </c>
      <c r="E46" s="4" t="s">
        <v>817</v>
      </c>
      <c r="F46">
        <f>VLOOKUP(B46,[1]Base!$A$8:$U$66,21,FALSE)</f>
        <v>5</v>
      </c>
      <c r="G46">
        <f t="shared" si="0"/>
        <v>509</v>
      </c>
    </row>
    <row r="47" spans="1:7">
      <c r="A47" s="4">
        <v>40</v>
      </c>
      <c r="B47" s="4">
        <v>5</v>
      </c>
      <c r="C47" s="4">
        <v>10</v>
      </c>
      <c r="D47" s="66" t="s">
        <v>2558</v>
      </c>
      <c r="E47" s="4" t="s">
        <v>818</v>
      </c>
      <c r="F47">
        <f>VLOOKUP(B47,[1]Base!$A$8:$U$66,21,FALSE)</f>
        <v>5</v>
      </c>
      <c r="G47">
        <f t="shared" si="0"/>
        <v>510</v>
      </c>
    </row>
    <row r="48" spans="1:7">
      <c r="A48" s="4">
        <v>41</v>
      </c>
      <c r="B48" s="4">
        <v>6</v>
      </c>
      <c r="C48" s="4">
        <v>1</v>
      </c>
      <c r="D48" s="66" t="s">
        <v>1965</v>
      </c>
      <c r="E48" s="4" t="s">
        <v>979</v>
      </c>
      <c r="F48">
        <f>VLOOKUP(B48,[1]Base!$A$8:$U$66,21,FALSE)</f>
        <v>5</v>
      </c>
      <c r="G48">
        <f t="shared" si="0"/>
        <v>501</v>
      </c>
    </row>
    <row r="49" spans="1:7">
      <c r="A49" s="4">
        <v>42</v>
      </c>
      <c r="B49" s="4">
        <v>6</v>
      </c>
      <c r="C49" s="4">
        <v>2</v>
      </c>
      <c r="D49" s="66" t="s">
        <v>2555</v>
      </c>
      <c r="E49" s="4" t="s">
        <v>809</v>
      </c>
      <c r="F49">
        <f>VLOOKUP(B49,[1]Base!$A$8:$U$66,21,FALSE)</f>
        <v>5</v>
      </c>
      <c r="G49">
        <f t="shared" si="0"/>
        <v>502</v>
      </c>
    </row>
    <row r="50" spans="1:7">
      <c r="A50" s="4">
        <v>43</v>
      </c>
      <c r="B50" s="4">
        <v>6</v>
      </c>
      <c r="C50" s="4">
        <v>3</v>
      </c>
      <c r="D50" s="66" t="s">
        <v>1965</v>
      </c>
      <c r="E50" s="4" t="s">
        <v>810</v>
      </c>
      <c r="F50">
        <f>VLOOKUP(B50,[1]Base!$A$8:$U$66,21,FALSE)</f>
        <v>5</v>
      </c>
      <c r="G50">
        <f t="shared" si="0"/>
        <v>503</v>
      </c>
    </row>
    <row r="51" spans="1:7">
      <c r="A51" s="4">
        <v>44</v>
      </c>
      <c r="B51" s="4">
        <v>6</v>
      </c>
      <c r="C51" s="4">
        <v>4</v>
      </c>
      <c r="D51" s="66" t="s">
        <v>2556</v>
      </c>
      <c r="E51" s="4" t="s">
        <v>811</v>
      </c>
      <c r="F51">
        <f>VLOOKUP(B51,[1]Base!$A$8:$U$66,21,FALSE)</f>
        <v>5</v>
      </c>
      <c r="G51">
        <f t="shared" si="0"/>
        <v>504</v>
      </c>
    </row>
    <row r="52" spans="1:7">
      <c r="A52" s="4">
        <v>45</v>
      </c>
      <c r="B52" s="4">
        <v>6</v>
      </c>
      <c r="C52" s="4">
        <v>5</v>
      </c>
      <c r="D52" s="66" t="s">
        <v>1966</v>
      </c>
      <c r="E52" s="4" t="s">
        <v>812</v>
      </c>
      <c r="F52">
        <f>VLOOKUP(B52,[1]Base!$A$8:$U$66,21,FALSE)</f>
        <v>5</v>
      </c>
      <c r="G52">
        <f t="shared" si="0"/>
        <v>505</v>
      </c>
    </row>
    <row r="53" spans="1:7">
      <c r="A53" s="4">
        <v>46</v>
      </c>
      <c r="B53" s="4">
        <v>6</v>
      </c>
      <c r="C53" s="4">
        <v>6</v>
      </c>
      <c r="D53" s="66" t="s">
        <v>2556</v>
      </c>
      <c r="E53" s="4" t="s">
        <v>814</v>
      </c>
      <c r="F53">
        <f>VLOOKUP(B53,[1]Base!$A$8:$U$66,21,FALSE)</f>
        <v>5</v>
      </c>
      <c r="G53">
        <f t="shared" si="0"/>
        <v>506</v>
      </c>
    </row>
    <row r="54" spans="1:7">
      <c r="A54" s="4">
        <v>47</v>
      </c>
      <c r="B54" s="4">
        <v>6</v>
      </c>
      <c r="C54" s="4">
        <v>7</v>
      </c>
      <c r="D54" s="66" t="s">
        <v>1966</v>
      </c>
      <c r="E54" s="4" t="s">
        <v>815</v>
      </c>
      <c r="F54">
        <f>VLOOKUP(B54,[1]Base!$A$8:$U$66,21,FALSE)</f>
        <v>5</v>
      </c>
      <c r="G54">
        <f t="shared" si="0"/>
        <v>507</v>
      </c>
    </row>
    <row r="55" spans="1:7">
      <c r="A55" s="4">
        <v>48</v>
      </c>
      <c r="B55" s="4">
        <v>6</v>
      </c>
      <c r="C55" s="4">
        <v>8</v>
      </c>
      <c r="D55" s="66" t="s">
        <v>2557</v>
      </c>
      <c r="E55" s="4" t="s">
        <v>816</v>
      </c>
      <c r="F55">
        <f>VLOOKUP(B55,[1]Base!$A$8:$U$66,21,FALSE)</f>
        <v>5</v>
      </c>
      <c r="G55">
        <f t="shared" si="0"/>
        <v>508</v>
      </c>
    </row>
    <row r="56" spans="1:7">
      <c r="A56" s="4">
        <v>49</v>
      </c>
      <c r="B56" s="4">
        <v>6</v>
      </c>
      <c r="C56" s="4">
        <v>9</v>
      </c>
      <c r="D56" s="66" t="s">
        <v>1968</v>
      </c>
      <c r="E56" s="4" t="s">
        <v>817</v>
      </c>
      <c r="F56">
        <f>VLOOKUP(B56,[1]Base!$A$8:$U$66,21,FALSE)</f>
        <v>5</v>
      </c>
      <c r="G56">
        <f t="shared" si="0"/>
        <v>509</v>
      </c>
    </row>
    <row r="57" spans="1:7">
      <c r="A57" s="4">
        <v>50</v>
      </c>
      <c r="B57" s="4">
        <v>6</v>
      </c>
      <c r="C57" s="4">
        <v>10</v>
      </c>
      <c r="D57" s="66" t="s">
        <v>2558</v>
      </c>
      <c r="E57" s="4" t="s">
        <v>818</v>
      </c>
      <c r="F57">
        <f>VLOOKUP(B57,[1]Base!$A$8:$U$66,21,FALSE)</f>
        <v>5</v>
      </c>
      <c r="G57">
        <f t="shared" si="0"/>
        <v>510</v>
      </c>
    </row>
    <row r="58" spans="1:7">
      <c r="A58" s="4">
        <v>51</v>
      </c>
      <c r="B58" s="4">
        <v>7</v>
      </c>
      <c r="C58" s="4">
        <v>1</v>
      </c>
      <c r="D58" s="66" t="s">
        <v>1967</v>
      </c>
      <c r="E58" s="4" t="s">
        <v>979</v>
      </c>
      <c r="F58">
        <f>VLOOKUP(B58,[1]Base!$A$8:$U$66,21,FALSE)</f>
        <v>3</v>
      </c>
      <c r="G58">
        <f t="shared" si="0"/>
        <v>301</v>
      </c>
    </row>
    <row r="59" spans="1:7">
      <c r="A59" s="4">
        <v>52</v>
      </c>
      <c r="B59">
        <v>7</v>
      </c>
      <c r="C59" s="4">
        <v>2</v>
      </c>
      <c r="D59" s="66" t="s">
        <v>1045</v>
      </c>
      <c r="E59" s="4" t="s">
        <v>809</v>
      </c>
      <c r="F59">
        <f>VLOOKUP(B59,[1]Base!$A$8:$U$66,21,FALSE)</f>
        <v>3</v>
      </c>
      <c r="G59">
        <f t="shared" si="0"/>
        <v>302</v>
      </c>
    </row>
    <row r="60" spans="1:7">
      <c r="A60" s="4">
        <v>53</v>
      </c>
      <c r="B60" s="4">
        <v>7</v>
      </c>
      <c r="C60" s="4">
        <v>3</v>
      </c>
      <c r="D60" s="66" t="s">
        <v>1967</v>
      </c>
      <c r="E60" s="4" t="s">
        <v>810</v>
      </c>
      <c r="F60">
        <f>VLOOKUP(B60,[1]Base!$A$8:$U$66,21,FALSE)</f>
        <v>3</v>
      </c>
      <c r="G60">
        <f t="shared" si="0"/>
        <v>303</v>
      </c>
    </row>
    <row r="61" spans="1:7">
      <c r="A61" s="4">
        <v>54</v>
      </c>
      <c r="B61" s="4">
        <v>7</v>
      </c>
      <c r="C61" s="4">
        <v>4</v>
      </c>
      <c r="D61" s="66" t="s">
        <v>1045</v>
      </c>
      <c r="E61" s="4" t="s">
        <v>811</v>
      </c>
      <c r="F61">
        <f>VLOOKUP(B61,[1]Base!$A$8:$U$66,21,FALSE)</f>
        <v>3</v>
      </c>
      <c r="G61">
        <f t="shared" si="0"/>
        <v>304</v>
      </c>
    </row>
    <row r="62" spans="1:7">
      <c r="A62" s="4">
        <v>55</v>
      </c>
      <c r="B62" s="4">
        <v>7</v>
      </c>
      <c r="C62" s="4">
        <v>5</v>
      </c>
      <c r="D62" s="66" t="s">
        <v>1964</v>
      </c>
      <c r="E62" s="4" t="s">
        <v>812</v>
      </c>
      <c r="F62">
        <f>VLOOKUP(B62,[1]Base!$A$8:$U$66,21,FALSE)</f>
        <v>3</v>
      </c>
      <c r="G62">
        <f t="shared" si="0"/>
        <v>305</v>
      </c>
    </row>
    <row r="63" spans="1:7">
      <c r="A63" s="4">
        <v>56</v>
      </c>
      <c r="B63" s="4">
        <v>7</v>
      </c>
      <c r="C63" s="4">
        <v>6</v>
      </c>
      <c r="D63" s="66" t="s">
        <v>1046</v>
      </c>
      <c r="E63" s="4" t="s">
        <v>814</v>
      </c>
      <c r="F63">
        <f>VLOOKUP(B63,[1]Base!$A$8:$U$66,21,FALSE)</f>
        <v>3</v>
      </c>
      <c r="G63">
        <f t="shared" si="0"/>
        <v>306</v>
      </c>
    </row>
    <row r="64" spans="1:7">
      <c r="A64" s="4">
        <v>57</v>
      </c>
      <c r="B64" s="4">
        <v>7</v>
      </c>
      <c r="C64" s="4">
        <v>7</v>
      </c>
      <c r="D64" s="66" t="s">
        <v>1964</v>
      </c>
      <c r="E64" s="4" t="s">
        <v>815</v>
      </c>
      <c r="F64">
        <f>VLOOKUP(B64,[1]Base!$A$8:$U$66,21,FALSE)</f>
        <v>3</v>
      </c>
      <c r="G64">
        <f t="shared" si="0"/>
        <v>307</v>
      </c>
    </row>
    <row r="65" spans="1:7">
      <c r="A65" s="4">
        <v>58</v>
      </c>
      <c r="B65" s="4">
        <v>7</v>
      </c>
      <c r="C65" s="4">
        <v>8</v>
      </c>
      <c r="D65" s="66" t="s">
        <v>1042</v>
      </c>
      <c r="E65" s="4" t="s">
        <v>816</v>
      </c>
      <c r="F65">
        <f>VLOOKUP(B65,[1]Base!$A$8:$U$66,21,FALSE)</f>
        <v>3</v>
      </c>
      <c r="G65">
        <f t="shared" si="0"/>
        <v>308</v>
      </c>
    </row>
    <row r="66" spans="1:7">
      <c r="A66" s="4">
        <v>59</v>
      </c>
      <c r="B66">
        <v>7</v>
      </c>
      <c r="C66" s="4">
        <v>9</v>
      </c>
      <c r="D66" s="66" t="s">
        <v>1965</v>
      </c>
      <c r="E66" s="4" t="s">
        <v>817</v>
      </c>
      <c r="F66">
        <f>VLOOKUP(B66,[1]Base!$A$8:$U$66,21,FALSE)</f>
        <v>3</v>
      </c>
      <c r="G66">
        <f t="shared" si="0"/>
        <v>309</v>
      </c>
    </row>
    <row r="67" spans="1:7">
      <c r="A67" s="4">
        <v>60</v>
      </c>
      <c r="B67" s="4">
        <v>7</v>
      </c>
      <c r="C67" s="4">
        <v>10</v>
      </c>
      <c r="D67" s="66" t="s">
        <v>1047</v>
      </c>
      <c r="E67" s="4" t="s">
        <v>818</v>
      </c>
      <c r="F67">
        <f>VLOOKUP(B67,[1]Base!$A$8:$U$66,21,FALSE)</f>
        <v>3</v>
      </c>
      <c r="G67">
        <f t="shared" si="0"/>
        <v>310</v>
      </c>
    </row>
    <row r="68" spans="1:7">
      <c r="A68" s="4">
        <v>61</v>
      </c>
      <c r="B68" s="4">
        <v>8</v>
      </c>
      <c r="C68" s="4">
        <v>1</v>
      </c>
      <c r="D68" s="66" t="s">
        <v>1965</v>
      </c>
      <c r="E68" s="4" t="s">
        <v>979</v>
      </c>
      <c r="F68">
        <f>VLOOKUP(B68,[1]Base!$A$8:$U$66,21,FALSE)</f>
        <v>5</v>
      </c>
      <c r="G68">
        <f t="shared" si="0"/>
        <v>501</v>
      </c>
    </row>
    <row r="69" spans="1:7">
      <c r="A69" s="4">
        <v>62</v>
      </c>
      <c r="B69" s="4">
        <v>8</v>
      </c>
      <c r="C69" s="4">
        <v>2</v>
      </c>
      <c r="D69" s="66" t="s">
        <v>2555</v>
      </c>
      <c r="E69" s="4" t="s">
        <v>809</v>
      </c>
      <c r="F69">
        <f>VLOOKUP(B69,[1]Base!$A$8:$U$66,21,FALSE)</f>
        <v>5</v>
      </c>
      <c r="G69">
        <f t="shared" si="0"/>
        <v>502</v>
      </c>
    </row>
    <row r="70" spans="1:7">
      <c r="A70" s="4">
        <v>63</v>
      </c>
      <c r="B70" s="4">
        <v>8</v>
      </c>
      <c r="C70" s="4">
        <v>3</v>
      </c>
      <c r="D70" s="66" t="s">
        <v>1965</v>
      </c>
      <c r="E70" s="4" t="s">
        <v>810</v>
      </c>
      <c r="F70">
        <f>VLOOKUP(B70,[1]Base!$A$8:$U$66,21,FALSE)</f>
        <v>5</v>
      </c>
      <c r="G70">
        <f t="shared" si="0"/>
        <v>503</v>
      </c>
    </row>
    <row r="71" spans="1:7">
      <c r="A71" s="4">
        <v>64</v>
      </c>
      <c r="B71" s="4">
        <v>8</v>
      </c>
      <c r="C71" s="4">
        <v>4</v>
      </c>
      <c r="D71" s="66" t="s">
        <v>2556</v>
      </c>
      <c r="E71" s="4" t="s">
        <v>811</v>
      </c>
      <c r="F71">
        <f>VLOOKUP(B71,[1]Base!$A$8:$U$66,21,FALSE)</f>
        <v>5</v>
      </c>
      <c r="G71">
        <f t="shared" si="0"/>
        <v>504</v>
      </c>
    </row>
    <row r="72" spans="1:7">
      <c r="A72" s="4">
        <v>65</v>
      </c>
      <c r="B72">
        <v>8</v>
      </c>
      <c r="C72" s="4">
        <v>5</v>
      </c>
      <c r="D72" s="66" t="s">
        <v>1966</v>
      </c>
      <c r="E72" s="4" t="s">
        <v>812</v>
      </c>
      <c r="F72">
        <f>VLOOKUP(B72,[1]Base!$A$8:$U$66,21,FALSE)</f>
        <v>5</v>
      </c>
      <c r="G72">
        <f t="shared" si="0"/>
        <v>505</v>
      </c>
    </row>
    <row r="73" spans="1:7">
      <c r="A73" s="4">
        <v>66</v>
      </c>
      <c r="B73" s="4">
        <v>8</v>
      </c>
      <c r="C73" s="4">
        <v>6</v>
      </c>
      <c r="D73" s="66" t="s">
        <v>2556</v>
      </c>
      <c r="E73" s="4" t="s">
        <v>814</v>
      </c>
      <c r="F73">
        <f>VLOOKUP(B73,[1]Base!$A$8:$U$66,21,FALSE)</f>
        <v>5</v>
      </c>
      <c r="G73">
        <f t="shared" ref="G73:G136" si="1">F73*100+C73</f>
        <v>506</v>
      </c>
    </row>
    <row r="74" spans="1:7">
      <c r="A74" s="4">
        <v>67</v>
      </c>
      <c r="B74" s="4">
        <v>8</v>
      </c>
      <c r="C74" s="4">
        <v>7</v>
      </c>
      <c r="D74" s="66" t="s">
        <v>1966</v>
      </c>
      <c r="E74" s="4" t="s">
        <v>815</v>
      </c>
      <c r="F74">
        <f>VLOOKUP(B74,[1]Base!$A$8:$U$66,21,FALSE)</f>
        <v>5</v>
      </c>
      <c r="G74">
        <f t="shared" si="1"/>
        <v>507</v>
      </c>
    </row>
    <row r="75" spans="1:7">
      <c r="A75" s="4">
        <v>68</v>
      </c>
      <c r="B75" s="4">
        <v>8</v>
      </c>
      <c r="C75" s="4">
        <v>8</v>
      </c>
      <c r="D75" s="66" t="s">
        <v>2557</v>
      </c>
      <c r="E75" s="4" t="s">
        <v>816</v>
      </c>
      <c r="F75">
        <f>VLOOKUP(B75,[1]Base!$A$8:$U$66,21,FALSE)</f>
        <v>5</v>
      </c>
      <c r="G75">
        <f t="shared" si="1"/>
        <v>508</v>
      </c>
    </row>
    <row r="76" spans="1:7">
      <c r="A76" s="4">
        <v>69</v>
      </c>
      <c r="B76" s="4">
        <v>8</v>
      </c>
      <c r="C76" s="4">
        <v>9</v>
      </c>
      <c r="D76" s="66" t="s">
        <v>1968</v>
      </c>
      <c r="E76" s="4" t="s">
        <v>817</v>
      </c>
      <c r="F76">
        <f>VLOOKUP(B76,[1]Base!$A$8:$U$66,21,FALSE)</f>
        <v>5</v>
      </c>
      <c r="G76">
        <f t="shared" si="1"/>
        <v>509</v>
      </c>
    </row>
    <row r="77" spans="1:7">
      <c r="A77" s="4">
        <v>70</v>
      </c>
      <c r="B77" s="4">
        <v>8</v>
      </c>
      <c r="C77" s="4">
        <v>10</v>
      </c>
      <c r="D77" s="66" t="s">
        <v>2558</v>
      </c>
      <c r="E77" s="4" t="s">
        <v>818</v>
      </c>
      <c r="F77">
        <f>VLOOKUP(B77,[1]Base!$A$8:$U$66,21,FALSE)</f>
        <v>5</v>
      </c>
      <c r="G77">
        <f t="shared" si="1"/>
        <v>510</v>
      </c>
    </row>
    <row r="78" spans="1:7">
      <c r="A78" s="4">
        <v>71</v>
      </c>
      <c r="B78" s="4">
        <v>9</v>
      </c>
      <c r="C78" s="4">
        <v>1</v>
      </c>
      <c r="D78" s="66" t="s">
        <v>1965</v>
      </c>
      <c r="E78" s="4" t="s">
        <v>979</v>
      </c>
      <c r="F78">
        <f>VLOOKUP(B78,[1]Base!$A$8:$U$66,21,FALSE)</f>
        <v>5</v>
      </c>
      <c r="G78">
        <f t="shared" si="1"/>
        <v>501</v>
      </c>
    </row>
    <row r="79" spans="1:7">
      <c r="A79" s="4">
        <v>72</v>
      </c>
      <c r="B79" s="4">
        <v>9</v>
      </c>
      <c r="C79" s="4">
        <v>2</v>
      </c>
      <c r="D79" s="66" t="s">
        <v>2555</v>
      </c>
      <c r="E79" s="4" t="s">
        <v>809</v>
      </c>
      <c r="F79">
        <f>VLOOKUP(B79,[1]Base!$A$8:$U$66,21,FALSE)</f>
        <v>5</v>
      </c>
      <c r="G79">
        <f t="shared" si="1"/>
        <v>502</v>
      </c>
    </row>
    <row r="80" spans="1:7">
      <c r="A80" s="4">
        <v>73</v>
      </c>
      <c r="B80">
        <v>9</v>
      </c>
      <c r="C80" s="4">
        <v>3</v>
      </c>
      <c r="D80" s="66" t="s">
        <v>1965</v>
      </c>
      <c r="E80" s="4" t="s">
        <v>810</v>
      </c>
      <c r="F80">
        <f>VLOOKUP(B80,[1]Base!$A$8:$U$66,21,FALSE)</f>
        <v>5</v>
      </c>
      <c r="G80">
        <f t="shared" si="1"/>
        <v>503</v>
      </c>
    </row>
    <row r="81" spans="1:7">
      <c r="A81" s="4">
        <v>74</v>
      </c>
      <c r="B81" s="4">
        <v>9</v>
      </c>
      <c r="C81" s="4">
        <v>4</v>
      </c>
      <c r="D81" s="66" t="s">
        <v>2556</v>
      </c>
      <c r="E81" s="4" t="s">
        <v>811</v>
      </c>
      <c r="F81">
        <f>VLOOKUP(B81,[1]Base!$A$8:$U$66,21,FALSE)</f>
        <v>5</v>
      </c>
      <c r="G81">
        <f t="shared" si="1"/>
        <v>504</v>
      </c>
    </row>
    <row r="82" spans="1:7">
      <c r="A82" s="4">
        <v>75</v>
      </c>
      <c r="B82" s="4">
        <v>9</v>
      </c>
      <c r="C82" s="4">
        <v>5</v>
      </c>
      <c r="D82" s="66" t="s">
        <v>1966</v>
      </c>
      <c r="E82" s="4" t="s">
        <v>812</v>
      </c>
      <c r="F82">
        <f>VLOOKUP(B82,[1]Base!$A$8:$U$66,21,FALSE)</f>
        <v>5</v>
      </c>
      <c r="G82">
        <f t="shared" si="1"/>
        <v>505</v>
      </c>
    </row>
    <row r="83" spans="1:7">
      <c r="A83" s="4">
        <v>76</v>
      </c>
      <c r="B83" s="4">
        <v>9</v>
      </c>
      <c r="C83" s="4">
        <v>6</v>
      </c>
      <c r="D83" s="66" t="s">
        <v>2556</v>
      </c>
      <c r="E83" s="4" t="s">
        <v>814</v>
      </c>
      <c r="F83">
        <f>VLOOKUP(B83,[1]Base!$A$8:$U$66,21,FALSE)</f>
        <v>5</v>
      </c>
      <c r="G83">
        <f t="shared" si="1"/>
        <v>506</v>
      </c>
    </row>
    <row r="84" spans="1:7">
      <c r="A84" s="4">
        <v>77</v>
      </c>
      <c r="B84" s="4">
        <v>9</v>
      </c>
      <c r="C84" s="4">
        <v>7</v>
      </c>
      <c r="D84" s="66" t="s">
        <v>1966</v>
      </c>
      <c r="E84" s="4" t="s">
        <v>815</v>
      </c>
      <c r="F84">
        <f>VLOOKUP(B84,[1]Base!$A$8:$U$66,21,FALSE)</f>
        <v>5</v>
      </c>
      <c r="G84">
        <f t="shared" si="1"/>
        <v>507</v>
      </c>
    </row>
    <row r="85" spans="1:7">
      <c r="A85" s="4">
        <v>78</v>
      </c>
      <c r="B85" s="4">
        <v>9</v>
      </c>
      <c r="C85" s="4">
        <v>8</v>
      </c>
      <c r="D85" s="66" t="s">
        <v>2557</v>
      </c>
      <c r="E85" s="4" t="s">
        <v>816</v>
      </c>
      <c r="F85">
        <f>VLOOKUP(B85,[1]Base!$A$8:$U$66,21,FALSE)</f>
        <v>5</v>
      </c>
      <c r="G85">
        <f t="shared" si="1"/>
        <v>508</v>
      </c>
    </row>
    <row r="86" spans="1:7">
      <c r="A86" s="4">
        <v>79</v>
      </c>
      <c r="B86" s="4">
        <v>9</v>
      </c>
      <c r="C86" s="4">
        <v>9</v>
      </c>
      <c r="D86" s="66" t="s">
        <v>1968</v>
      </c>
      <c r="E86" s="4" t="s">
        <v>817</v>
      </c>
      <c r="F86">
        <f>VLOOKUP(B86,[1]Base!$A$8:$U$66,21,FALSE)</f>
        <v>5</v>
      </c>
      <c r="G86">
        <f t="shared" si="1"/>
        <v>509</v>
      </c>
    </row>
    <row r="87" spans="1:7">
      <c r="A87" s="4">
        <v>80</v>
      </c>
      <c r="B87">
        <v>9</v>
      </c>
      <c r="C87" s="4">
        <v>10</v>
      </c>
      <c r="D87" s="66" t="s">
        <v>2558</v>
      </c>
      <c r="E87" s="4" t="s">
        <v>818</v>
      </c>
      <c r="F87">
        <f>VLOOKUP(B87,[1]Base!$A$8:$U$66,21,FALSE)</f>
        <v>5</v>
      </c>
      <c r="G87">
        <f t="shared" si="1"/>
        <v>510</v>
      </c>
    </row>
    <row r="88" spans="1:7">
      <c r="A88" s="4">
        <v>81</v>
      </c>
      <c r="B88" s="4">
        <v>10</v>
      </c>
      <c r="C88" s="4">
        <v>1</v>
      </c>
      <c r="D88" s="66" t="s">
        <v>1965</v>
      </c>
      <c r="E88" s="4" t="s">
        <v>979</v>
      </c>
      <c r="F88">
        <f>VLOOKUP(B88,[1]Base!$A$8:$U$66,21,FALSE)</f>
        <v>5</v>
      </c>
      <c r="G88">
        <f t="shared" si="1"/>
        <v>501</v>
      </c>
    </row>
    <row r="89" spans="1:7">
      <c r="A89" s="4">
        <v>82</v>
      </c>
      <c r="B89" s="4">
        <v>10</v>
      </c>
      <c r="C89" s="4">
        <v>2</v>
      </c>
      <c r="D89" s="66" t="s">
        <v>2555</v>
      </c>
      <c r="E89" s="4" t="s">
        <v>809</v>
      </c>
      <c r="F89">
        <f>VLOOKUP(B89,[1]Base!$A$8:$U$66,21,FALSE)</f>
        <v>5</v>
      </c>
      <c r="G89">
        <f t="shared" si="1"/>
        <v>502</v>
      </c>
    </row>
    <row r="90" spans="1:7">
      <c r="A90" s="4">
        <v>83</v>
      </c>
      <c r="B90" s="4">
        <v>10</v>
      </c>
      <c r="C90" s="4">
        <v>3</v>
      </c>
      <c r="D90" s="66" t="s">
        <v>1965</v>
      </c>
      <c r="E90" s="4" t="s">
        <v>810</v>
      </c>
      <c r="F90">
        <f>VLOOKUP(B90,[1]Base!$A$8:$U$66,21,FALSE)</f>
        <v>5</v>
      </c>
      <c r="G90">
        <f t="shared" si="1"/>
        <v>503</v>
      </c>
    </row>
    <row r="91" spans="1:7">
      <c r="A91" s="4">
        <v>84</v>
      </c>
      <c r="B91" s="4">
        <v>10</v>
      </c>
      <c r="C91" s="4">
        <v>4</v>
      </c>
      <c r="D91" s="66" t="s">
        <v>2556</v>
      </c>
      <c r="E91" s="4" t="s">
        <v>811</v>
      </c>
      <c r="F91">
        <f>VLOOKUP(B91,[1]Base!$A$8:$U$66,21,FALSE)</f>
        <v>5</v>
      </c>
      <c r="G91">
        <f t="shared" si="1"/>
        <v>504</v>
      </c>
    </row>
    <row r="92" spans="1:7">
      <c r="A92" s="4">
        <v>85</v>
      </c>
      <c r="B92" s="4">
        <v>10</v>
      </c>
      <c r="C92" s="4">
        <v>5</v>
      </c>
      <c r="D92" s="66" t="s">
        <v>1966</v>
      </c>
      <c r="E92" s="4" t="s">
        <v>812</v>
      </c>
      <c r="F92">
        <f>VLOOKUP(B92,[1]Base!$A$8:$U$66,21,FALSE)</f>
        <v>5</v>
      </c>
      <c r="G92">
        <f t="shared" si="1"/>
        <v>505</v>
      </c>
    </row>
    <row r="93" spans="1:7">
      <c r="A93" s="4">
        <v>86</v>
      </c>
      <c r="B93" s="4">
        <v>10</v>
      </c>
      <c r="C93" s="4">
        <v>6</v>
      </c>
      <c r="D93" s="66" t="s">
        <v>2556</v>
      </c>
      <c r="E93" s="4" t="s">
        <v>814</v>
      </c>
      <c r="F93">
        <f>VLOOKUP(B93,[1]Base!$A$8:$U$66,21,FALSE)</f>
        <v>5</v>
      </c>
      <c r="G93">
        <f t="shared" si="1"/>
        <v>506</v>
      </c>
    </row>
    <row r="94" spans="1:7">
      <c r="A94" s="4">
        <v>87</v>
      </c>
      <c r="B94" s="4">
        <v>10</v>
      </c>
      <c r="C94" s="4">
        <v>7</v>
      </c>
      <c r="D94" s="66" t="s">
        <v>1966</v>
      </c>
      <c r="E94" s="4" t="s">
        <v>815</v>
      </c>
      <c r="F94">
        <f>VLOOKUP(B94,[1]Base!$A$8:$U$66,21,FALSE)</f>
        <v>5</v>
      </c>
      <c r="G94">
        <f t="shared" si="1"/>
        <v>507</v>
      </c>
    </row>
    <row r="95" spans="1:7">
      <c r="A95" s="4">
        <v>88</v>
      </c>
      <c r="B95">
        <v>10</v>
      </c>
      <c r="C95" s="4">
        <v>8</v>
      </c>
      <c r="D95" s="66" t="s">
        <v>2557</v>
      </c>
      <c r="E95" s="4" t="s">
        <v>816</v>
      </c>
      <c r="F95">
        <f>VLOOKUP(B95,[1]Base!$A$8:$U$66,21,FALSE)</f>
        <v>5</v>
      </c>
      <c r="G95">
        <f t="shared" si="1"/>
        <v>508</v>
      </c>
    </row>
    <row r="96" spans="1:7">
      <c r="A96" s="4">
        <v>89</v>
      </c>
      <c r="B96">
        <v>10</v>
      </c>
      <c r="C96" s="4">
        <v>9</v>
      </c>
      <c r="D96" s="66" t="s">
        <v>1968</v>
      </c>
      <c r="E96" s="4" t="s">
        <v>817</v>
      </c>
      <c r="F96">
        <f>VLOOKUP(B96,[1]Base!$A$8:$U$66,21,FALSE)</f>
        <v>5</v>
      </c>
      <c r="G96">
        <f t="shared" si="1"/>
        <v>509</v>
      </c>
    </row>
    <row r="97" spans="1:7">
      <c r="A97" s="4">
        <v>90</v>
      </c>
      <c r="B97">
        <v>10</v>
      </c>
      <c r="C97" s="4">
        <v>10</v>
      </c>
      <c r="D97" s="66" t="s">
        <v>2558</v>
      </c>
      <c r="E97" s="4" t="s">
        <v>818</v>
      </c>
      <c r="F97">
        <f>VLOOKUP(B97,[1]Base!$A$8:$U$66,21,FALSE)</f>
        <v>5</v>
      </c>
      <c r="G97">
        <f t="shared" si="1"/>
        <v>510</v>
      </c>
    </row>
    <row r="98" spans="1:7">
      <c r="A98" s="4">
        <v>91</v>
      </c>
      <c r="B98" s="4">
        <v>11</v>
      </c>
      <c r="C98" s="4">
        <v>1</v>
      </c>
      <c r="D98" s="66" t="s">
        <v>1964</v>
      </c>
      <c r="E98" s="4" t="s">
        <v>979</v>
      </c>
      <c r="F98">
        <f>VLOOKUP(B98,[1]Base!$A$8:$U$66,21,FALSE)</f>
        <v>4</v>
      </c>
      <c r="G98">
        <f t="shared" si="1"/>
        <v>401</v>
      </c>
    </row>
    <row r="99" spans="1:7">
      <c r="A99" s="4">
        <v>92</v>
      </c>
      <c r="B99">
        <v>11</v>
      </c>
      <c r="C99" s="4">
        <v>2</v>
      </c>
      <c r="D99" s="66" t="s">
        <v>1041</v>
      </c>
      <c r="E99" s="4" t="s">
        <v>809</v>
      </c>
      <c r="F99">
        <f>VLOOKUP(B99,[1]Base!$A$8:$U$66,21,FALSE)</f>
        <v>4</v>
      </c>
      <c r="G99">
        <f t="shared" si="1"/>
        <v>402</v>
      </c>
    </row>
    <row r="100" spans="1:7">
      <c r="A100" s="4">
        <v>93</v>
      </c>
      <c r="B100">
        <v>11</v>
      </c>
      <c r="C100" s="4">
        <v>3</v>
      </c>
      <c r="D100" s="66" t="s">
        <v>1964</v>
      </c>
      <c r="E100" s="4" t="s">
        <v>810</v>
      </c>
      <c r="F100">
        <f>VLOOKUP(B100,[1]Base!$A$8:$U$66,21,FALSE)</f>
        <v>4</v>
      </c>
      <c r="G100">
        <f t="shared" si="1"/>
        <v>403</v>
      </c>
    </row>
    <row r="101" spans="1:7">
      <c r="A101" s="4">
        <v>94</v>
      </c>
      <c r="B101">
        <v>11</v>
      </c>
      <c r="C101" s="4">
        <v>4</v>
      </c>
      <c r="D101" s="66" t="s">
        <v>1041</v>
      </c>
      <c r="E101" s="4" t="s">
        <v>811</v>
      </c>
      <c r="F101">
        <f>VLOOKUP(B101,[1]Base!$A$8:$U$66,21,FALSE)</f>
        <v>4</v>
      </c>
      <c r="G101">
        <f t="shared" si="1"/>
        <v>404</v>
      </c>
    </row>
    <row r="102" spans="1:7">
      <c r="A102" s="4">
        <v>95</v>
      </c>
      <c r="B102" s="4">
        <v>11</v>
      </c>
      <c r="C102" s="4">
        <v>5</v>
      </c>
      <c r="D102" s="66" t="s">
        <v>1965</v>
      </c>
      <c r="E102" s="4" t="s">
        <v>812</v>
      </c>
      <c r="F102">
        <f>VLOOKUP(B102,[1]Base!$A$8:$U$66,21,FALSE)</f>
        <v>4</v>
      </c>
      <c r="G102">
        <f t="shared" si="1"/>
        <v>405</v>
      </c>
    </row>
    <row r="103" spans="1:7">
      <c r="A103" s="4">
        <v>96</v>
      </c>
      <c r="B103" s="4">
        <v>11</v>
      </c>
      <c r="C103" s="4">
        <v>6</v>
      </c>
      <c r="D103" s="66" t="s">
        <v>1042</v>
      </c>
      <c r="E103" s="4" t="s">
        <v>814</v>
      </c>
      <c r="F103">
        <f>VLOOKUP(B103,[1]Base!$A$8:$U$66,21,FALSE)</f>
        <v>4</v>
      </c>
      <c r="G103">
        <f t="shared" si="1"/>
        <v>406</v>
      </c>
    </row>
    <row r="104" spans="1:7">
      <c r="A104" s="4">
        <v>97</v>
      </c>
      <c r="B104" s="4">
        <v>11</v>
      </c>
      <c r="C104" s="4">
        <v>7</v>
      </c>
      <c r="D104" s="66" t="s">
        <v>1965</v>
      </c>
      <c r="E104" s="4" t="s">
        <v>815</v>
      </c>
      <c r="F104">
        <f>VLOOKUP(B104,[1]Base!$A$8:$U$66,21,FALSE)</f>
        <v>4</v>
      </c>
      <c r="G104">
        <f t="shared" si="1"/>
        <v>407</v>
      </c>
    </row>
    <row r="105" spans="1:7">
      <c r="A105" s="4">
        <v>98</v>
      </c>
      <c r="B105" s="4">
        <v>11</v>
      </c>
      <c r="C105" s="4">
        <v>8</v>
      </c>
      <c r="D105" s="66" t="s">
        <v>1043</v>
      </c>
      <c r="E105" s="4" t="s">
        <v>816</v>
      </c>
      <c r="F105">
        <f>VLOOKUP(B105,[1]Base!$A$8:$U$66,21,FALSE)</f>
        <v>4</v>
      </c>
      <c r="G105">
        <f t="shared" si="1"/>
        <v>408</v>
      </c>
    </row>
    <row r="106" spans="1:7">
      <c r="A106" s="4">
        <v>99</v>
      </c>
      <c r="B106" s="4">
        <v>11</v>
      </c>
      <c r="C106" s="4">
        <v>9</v>
      </c>
      <c r="D106" s="66" t="s">
        <v>1966</v>
      </c>
      <c r="E106" s="4" t="s">
        <v>817</v>
      </c>
      <c r="F106">
        <f>VLOOKUP(B106,[1]Base!$A$8:$U$66,21,FALSE)</f>
        <v>4</v>
      </c>
      <c r="G106">
        <f t="shared" si="1"/>
        <v>409</v>
      </c>
    </row>
    <row r="107" spans="1:7">
      <c r="A107" s="4">
        <v>100</v>
      </c>
      <c r="B107" s="4">
        <v>11</v>
      </c>
      <c r="C107" s="4">
        <v>10</v>
      </c>
      <c r="D107" s="66" t="s">
        <v>1044</v>
      </c>
      <c r="E107" s="4" t="s">
        <v>818</v>
      </c>
      <c r="F107">
        <f>VLOOKUP(B107,[1]Base!$A$8:$U$66,21,FALSE)</f>
        <v>4</v>
      </c>
      <c r="G107">
        <f t="shared" si="1"/>
        <v>410</v>
      </c>
    </row>
    <row r="108" spans="1:7">
      <c r="A108" s="4">
        <v>101</v>
      </c>
      <c r="B108" s="4">
        <v>12</v>
      </c>
      <c r="C108" s="4">
        <v>1</v>
      </c>
      <c r="D108" s="66" t="s">
        <v>1965</v>
      </c>
      <c r="E108" s="4" t="s">
        <v>979</v>
      </c>
      <c r="F108">
        <f>VLOOKUP(B108,[1]Base!$A$8:$U$66,21,FALSE)</f>
        <v>5</v>
      </c>
      <c r="G108">
        <f t="shared" si="1"/>
        <v>501</v>
      </c>
    </row>
    <row r="109" spans="1:7">
      <c r="A109" s="4">
        <v>102</v>
      </c>
      <c r="B109" s="4">
        <v>12</v>
      </c>
      <c r="C109" s="4">
        <v>2</v>
      </c>
      <c r="D109" s="66" t="s">
        <v>2555</v>
      </c>
      <c r="E109" s="4" t="s">
        <v>809</v>
      </c>
      <c r="F109">
        <f>VLOOKUP(B109,[1]Base!$A$8:$U$66,21,FALSE)</f>
        <v>5</v>
      </c>
      <c r="G109">
        <f t="shared" si="1"/>
        <v>502</v>
      </c>
    </row>
    <row r="110" spans="1:7">
      <c r="A110" s="4">
        <v>103</v>
      </c>
      <c r="B110" s="4">
        <v>12</v>
      </c>
      <c r="C110" s="4">
        <v>3</v>
      </c>
      <c r="D110" s="66" t="s">
        <v>1965</v>
      </c>
      <c r="E110" s="4" t="s">
        <v>810</v>
      </c>
      <c r="F110">
        <f>VLOOKUP(B110,[1]Base!$A$8:$U$66,21,FALSE)</f>
        <v>5</v>
      </c>
      <c r="G110">
        <f t="shared" si="1"/>
        <v>503</v>
      </c>
    </row>
    <row r="111" spans="1:7">
      <c r="A111" s="4">
        <v>104</v>
      </c>
      <c r="B111" s="4">
        <v>12</v>
      </c>
      <c r="C111" s="4">
        <v>4</v>
      </c>
      <c r="D111" s="66" t="s">
        <v>2556</v>
      </c>
      <c r="E111" s="4" t="s">
        <v>811</v>
      </c>
      <c r="F111">
        <f>VLOOKUP(B111,[1]Base!$A$8:$U$66,21,FALSE)</f>
        <v>5</v>
      </c>
      <c r="G111">
        <f t="shared" si="1"/>
        <v>504</v>
      </c>
    </row>
    <row r="112" spans="1:7">
      <c r="A112" s="4">
        <v>105</v>
      </c>
      <c r="B112" s="4">
        <v>12</v>
      </c>
      <c r="C112" s="4">
        <v>5</v>
      </c>
      <c r="D112" s="66" t="s">
        <v>1966</v>
      </c>
      <c r="E112" s="4" t="s">
        <v>812</v>
      </c>
      <c r="F112">
        <f>VLOOKUP(B112,[1]Base!$A$8:$U$66,21,FALSE)</f>
        <v>5</v>
      </c>
      <c r="G112">
        <f t="shared" si="1"/>
        <v>505</v>
      </c>
    </row>
    <row r="113" spans="1:7">
      <c r="A113" s="4">
        <v>106</v>
      </c>
      <c r="B113" s="4">
        <v>12</v>
      </c>
      <c r="C113" s="4">
        <v>6</v>
      </c>
      <c r="D113" s="66" t="s">
        <v>2556</v>
      </c>
      <c r="E113" s="4" t="s">
        <v>814</v>
      </c>
      <c r="F113">
        <f>VLOOKUP(B113,[1]Base!$A$8:$U$66,21,FALSE)</f>
        <v>5</v>
      </c>
      <c r="G113">
        <f t="shared" si="1"/>
        <v>506</v>
      </c>
    </row>
    <row r="114" spans="1:7">
      <c r="A114" s="4">
        <v>107</v>
      </c>
      <c r="B114" s="4">
        <v>12</v>
      </c>
      <c r="C114" s="4">
        <v>7</v>
      </c>
      <c r="D114" s="66" t="s">
        <v>1966</v>
      </c>
      <c r="E114" s="4" t="s">
        <v>815</v>
      </c>
      <c r="F114">
        <f>VLOOKUP(B114,[1]Base!$A$8:$U$66,21,FALSE)</f>
        <v>5</v>
      </c>
      <c r="G114">
        <f t="shared" si="1"/>
        <v>507</v>
      </c>
    </row>
    <row r="115" spans="1:7">
      <c r="A115" s="4">
        <v>108</v>
      </c>
      <c r="B115">
        <v>12</v>
      </c>
      <c r="C115" s="4">
        <v>8</v>
      </c>
      <c r="D115" s="66" t="s">
        <v>2557</v>
      </c>
      <c r="E115" s="4" t="s">
        <v>816</v>
      </c>
      <c r="F115">
        <f>VLOOKUP(B115,[1]Base!$A$8:$U$66,21,FALSE)</f>
        <v>5</v>
      </c>
      <c r="G115">
        <f t="shared" si="1"/>
        <v>508</v>
      </c>
    </row>
    <row r="116" spans="1:7">
      <c r="A116" s="4">
        <v>109</v>
      </c>
      <c r="B116" s="4">
        <v>12</v>
      </c>
      <c r="C116" s="4">
        <v>9</v>
      </c>
      <c r="D116" s="66" t="s">
        <v>1968</v>
      </c>
      <c r="E116" s="4" t="s">
        <v>817</v>
      </c>
      <c r="F116">
        <f>VLOOKUP(B116,[1]Base!$A$8:$U$66,21,FALSE)</f>
        <v>5</v>
      </c>
      <c r="G116">
        <f t="shared" si="1"/>
        <v>509</v>
      </c>
    </row>
    <row r="117" spans="1:7">
      <c r="A117" s="4">
        <v>110</v>
      </c>
      <c r="B117" s="4">
        <v>12</v>
      </c>
      <c r="C117" s="4">
        <v>10</v>
      </c>
      <c r="D117" s="66" t="s">
        <v>2558</v>
      </c>
      <c r="E117" s="4" t="s">
        <v>818</v>
      </c>
      <c r="F117">
        <f>VLOOKUP(B117,[1]Base!$A$8:$U$66,21,FALSE)</f>
        <v>5</v>
      </c>
      <c r="G117">
        <f t="shared" si="1"/>
        <v>510</v>
      </c>
    </row>
    <row r="118" spans="1:7">
      <c r="A118" s="4">
        <v>111</v>
      </c>
      <c r="B118" s="4">
        <v>13</v>
      </c>
      <c r="C118" s="4">
        <v>1</v>
      </c>
      <c r="D118" s="66" t="s">
        <v>1965</v>
      </c>
      <c r="E118" s="4" t="s">
        <v>979</v>
      </c>
      <c r="F118">
        <f>VLOOKUP(B118,[1]Base!$A$8:$U$66,21,FALSE)</f>
        <v>5</v>
      </c>
      <c r="G118">
        <f t="shared" si="1"/>
        <v>501</v>
      </c>
    </row>
    <row r="119" spans="1:7">
      <c r="A119" s="4">
        <v>112</v>
      </c>
      <c r="B119" s="4">
        <v>13</v>
      </c>
      <c r="C119" s="4">
        <v>2</v>
      </c>
      <c r="D119" s="66" t="s">
        <v>2555</v>
      </c>
      <c r="E119" s="4" t="s">
        <v>809</v>
      </c>
      <c r="F119">
        <f>VLOOKUP(B119,[1]Base!$A$8:$U$66,21,FALSE)</f>
        <v>5</v>
      </c>
      <c r="G119">
        <f t="shared" si="1"/>
        <v>502</v>
      </c>
    </row>
    <row r="120" spans="1:7">
      <c r="A120" s="4">
        <v>113</v>
      </c>
      <c r="B120" s="4">
        <v>13</v>
      </c>
      <c r="C120" s="4">
        <v>3</v>
      </c>
      <c r="D120" s="66" t="s">
        <v>1965</v>
      </c>
      <c r="E120" s="4" t="s">
        <v>810</v>
      </c>
      <c r="F120">
        <f>VLOOKUP(B120,[1]Base!$A$8:$U$66,21,FALSE)</f>
        <v>5</v>
      </c>
      <c r="G120">
        <f t="shared" si="1"/>
        <v>503</v>
      </c>
    </row>
    <row r="121" spans="1:7">
      <c r="A121" s="4">
        <v>114</v>
      </c>
      <c r="B121" s="4">
        <v>13</v>
      </c>
      <c r="C121" s="4">
        <v>4</v>
      </c>
      <c r="D121" s="66" t="s">
        <v>2556</v>
      </c>
      <c r="E121" s="4" t="s">
        <v>811</v>
      </c>
      <c r="F121">
        <f>VLOOKUP(B121,[1]Base!$A$8:$U$66,21,FALSE)</f>
        <v>5</v>
      </c>
      <c r="G121">
        <f t="shared" si="1"/>
        <v>504</v>
      </c>
    </row>
    <row r="122" spans="1:7">
      <c r="A122" s="4">
        <v>115</v>
      </c>
      <c r="B122" s="4">
        <v>13</v>
      </c>
      <c r="C122" s="4">
        <v>5</v>
      </c>
      <c r="D122" s="66" t="s">
        <v>1966</v>
      </c>
      <c r="E122" s="4" t="s">
        <v>812</v>
      </c>
      <c r="F122">
        <f>VLOOKUP(B122,[1]Base!$A$8:$U$66,21,FALSE)</f>
        <v>5</v>
      </c>
      <c r="G122">
        <f t="shared" si="1"/>
        <v>505</v>
      </c>
    </row>
    <row r="123" spans="1:7">
      <c r="A123" s="4">
        <v>116</v>
      </c>
      <c r="B123">
        <v>13</v>
      </c>
      <c r="C123" s="4">
        <v>6</v>
      </c>
      <c r="D123" s="66" t="s">
        <v>2556</v>
      </c>
      <c r="E123" s="4" t="s">
        <v>814</v>
      </c>
      <c r="F123">
        <f>VLOOKUP(B123,[1]Base!$A$8:$U$66,21,FALSE)</f>
        <v>5</v>
      </c>
      <c r="G123">
        <f t="shared" si="1"/>
        <v>506</v>
      </c>
    </row>
    <row r="124" spans="1:7">
      <c r="A124" s="4">
        <v>117</v>
      </c>
      <c r="B124" s="4">
        <v>13</v>
      </c>
      <c r="C124" s="4">
        <v>7</v>
      </c>
      <c r="D124" s="66" t="s">
        <v>1966</v>
      </c>
      <c r="E124" s="4" t="s">
        <v>815</v>
      </c>
      <c r="F124">
        <f>VLOOKUP(B124,[1]Base!$A$8:$U$66,21,FALSE)</f>
        <v>5</v>
      </c>
      <c r="G124">
        <f t="shared" si="1"/>
        <v>507</v>
      </c>
    </row>
    <row r="125" spans="1:7">
      <c r="A125" s="4">
        <v>118</v>
      </c>
      <c r="B125" s="4">
        <v>13</v>
      </c>
      <c r="C125" s="4">
        <v>8</v>
      </c>
      <c r="D125" s="66" t="s">
        <v>2557</v>
      </c>
      <c r="E125" s="4" t="s">
        <v>816</v>
      </c>
      <c r="F125">
        <f>VLOOKUP(B125,[1]Base!$A$8:$U$66,21,FALSE)</f>
        <v>5</v>
      </c>
      <c r="G125">
        <f t="shared" si="1"/>
        <v>508</v>
      </c>
    </row>
    <row r="126" spans="1:7">
      <c r="A126" s="4">
        <v>119</v>
      </c>
      <c r="B126" s="4">
        <v>13</v>
      </c>
      <c r="C126" s="4">
        <v>9</v>
      </c>
      <c r="D126" s="66" t="s">
        <v>1968</v>
      </c>
      <c r="E126" s="4" t="s">
        <v>817</v>
      </c>
      <c r="F126">
        <f>VLOOKUP(B126,[1]Base!$A$8:$U$66,21,FALSE)</f>
        <v>5</v>
      </c>
      <c r="G126">
        <f t="shared" si="1"/>
        <v>509</v>
      </c>
    </row>
    <row r="127" spans="1:7">
      <c r="A127" s="4">
        <v>120</v>
      </c>
      <c r="B127" s="4">
        <v>13</v>
      </c>
      <c r="C127" s="4">
        <v>10</v>
      </c>
      <c r="D127" s="66" t="s">
        <v>2558</v>
      </c>
      <c r="E127" s="4" t="s">
        <v>818</v>
      </c>
      <c r="F127">
        <f>VLOOKUP(B127,[1]Base!$A$8:$U$66,21,FALSE)</f>
        <v>5</v>
      </c>
      <c r="G127">
        <f t="shared" si="1"/>
        <v>510</v>
      </c>
    </row>
    <row r="128" spans="1:7">
      <c r="A128" s="4">
        <v>131</v>
      </c>
      <c r="B128" s="4">
        <v>15</v>
      </c>
      <c r="C128" s="4">
        <v>1</v>
      </c>
      <c r="D128" s="66" t="s">
        <v>1965</v>
      </c>
      <c r="E128" s="4" t="s">
        <v>979</v>
      </c>
      <c r="F128">
        <f>VLOOKUP(B128,[1]Base!$A$8:$U$66,21,FALSE)</f>
        <v>5</v>
      </c>
      <c r="G128">
        <f t="shared" si="1"/>
        <v>501</v>
      </c>
    </row>
    <row r="129" spans="1:7">
      <c r="A129" s="4">
        <v>132</v>
      </c>
      <c r="B129" s="4">
        <v>15</v>
      </c>
      <c r="C129" s="4">
        <v>2</v>
      </c>
      <c r="D129" s="66" t="s">
        <v>2555</v>
      </c>
      <c r="E129" s="4" t="s">
        <v>809</v>
      </c>
      <c r="F129">
        <f>VLOOKUP(B129,[1]Base!$A$8:$U$66,21,FALSE)</f>
        <v>5</v>
      </c>
      <c r="G129">
        <f t="shared" si="1"/>
        <v>502</v>
      </c>
    </row>
    <row r="130" spans="1:7">
      <c r="A130" s="4">
        <v>133</v>
      </c>
      <c r="B130">
        <v>15</v>
      </c>
      <c r="C130" s="4">
        <v>3</v>
      </c>
      <c r="D130" s="66" t="s">
        <v>1965</v>
      </c>
      <c r="E130" s="4" t="s">
        <v>810</v>
      </c>
      <c r="F130">
        <f>VLOOKUP(B130,[1]Base!$A$8:$U$66,21,FALSE)</f>
        <v>5</v>
      </c>
      <c r="G130">
        <f t="shared" si="1"/>
        <v>503</v>
      </c>
    </row>
    <row r="131" spans="1:7">
      <c r="A131" s="4">
        <v>134</v>
      </c>
      <c r="B131">
        <v>15</v>
      </c>
      <c r="C131" s="4">
        <v>4</v>
      </c>
      <c r="D131" s="66" t="s">
        <v>2556</v>
      </c>
      <c r="E131" s="4" t="s">
        <v>811</v>
      </c>
      <c r="F131">
        <f>VLOOKUP(B131,[1]Base!$A$8:$U$66,21,FALSE)</f>
        <v>5</v>
      </c>
      <c r="G131">
        <f t="shared" si="1"/>
        <v>504</v>
      </c>
    </row>
    <row r="132" spans="1:7">
      <c r="A132" s="4">
        <v>135</v>
      </c>
      <c r="B132">
        <v>15</v>
      </c>
      <c r="C132" s="4">
        <v>5</v>
      </c>
      <c r="D132" s="66" t="s">
        <v>1966</v>
      </c>
      <c r="E132" s="4" t="s">
        <v>812</v>
      </c>
      <c r="F132">
        <f>VLOOKUP(B132,[1]Base!$A$8:$U$66,21,FALSE)</f>
        <v>5</v>
      </c>
      <c r="G132">
        <f t="shared" si="1"/>
        <v>505</v>
      </c>
    </row>
    <row r="133" spans="1:7">
      <c r="A133" s="4">
        <v>136</v>
      </c>
      <c r="B133" s="4">
        <v>15</v>
      </c>
      <c r="C133" s="4">
        <v>6</v>
      </c>
      <c r="D133" s="66" t="s">
        <v>2556</v>
      </c>
      <c r="E133" s="4" t="s">
        <v>814</v>
      </c>
      <c r="F133">
        <f>VLOOKUP(B133,[1]Base!$A$8:$U$66,21,FALSE)</f>
        <v>5</v>
      </c>
      <c r="G133">
        <f t="shared" si="1"/>
        <v>506</v>
      </c>
    </row>
    <row r="134" spans="1:7">
      <c r="A134" s="4">
        <v>137</v>
      </c>
      <c r="B134" s="4">
        <v>15</v>
      </c>
      <c r="C134" s="4">
        <v>7</v>
      </c>
      <c r="D134" s="66" t="s">
        <v>1966</v>
      </c>
      <c r="E134" s="4" t="s">
        <v>815</v>
      </c>
      <c r="F134">
        <f>VLOOKUP(B134,[1]Base!$A$8:$U$66,21,FALSE)</f>
        <v>5</v>
      </c>
      <c r="G134">
        <f t="shared" si="1"/>
        <v>507</v>
      </c>
    </row>
    <row r="135" spans="1:7">
      <c r="A135" s="4">
        <v>138</v>
      </c>
      <c r="B135" s="4">
        <v>15</v>
      </c>
      <c r="C135" s="4">
        <v>8</v>
      </c>
      <c r="D135" s="66" t="s">
        <v>2557</v>
      </c>
      <c r="E135" s="4" t="s">
        <v>816</v>
      </c>
      <c r="F135">
        <f>VLOOKUP(B135,[1]Base!$A$8:$U$66,21,FALSE)</f>
        <v>5</v>
      </c>
      <c r="G135">
        <f t="shared" si="1"/>
        <v>508</v>
      </c>
    </row>
    <row r="136" spans="1:7">
      <c r="A136" s="4">
        <v>139</v>
      </c>
      <c r="B136" s="4">
        <v>15</v>
      </c>
      <c r="C136" s="4">
        <v>9</v>
      </c>
      <c r="D136" s="66" t="s">
        <v>1968</v>
      </c>
      <c r="E136" s="4" t="s">
        <v>817</v>
      </c>
      <c r="F136">
        <f>VLOOKUP(B136,[1]Base!$A$8:$U$66,21,FALSE)</f>
        <v>5</v>
      </c>
      <c r="G136">
        <f t="shared" si="1"/>
        <v>509</v>
      </c>
    </row>
    <row r="137" spans="1:7">
      <c r="A137" s="4">
        <v>140</v>
      </c>
      <c r="B137" s="4">
        <v>15</v>
      </c>
      <c r="C137" s="4">
        <v>10</v>
      </c>
      <c r="D137" s="66" t="s">
        <v>2558</v>
      </c>
      <c r="E137" s="4" t="s">
        <v>818</v>
      </c>
      <c r="F137">
        <f>VLOOKUP(B137,[1]Base!$A$8:$U$66,21,FALSE)</f>
        <v>5</v>
      </c>
      <c r="G137">
        <f t="shared" ref="G137:G200" si="2">F137*100+C137</f>
        <v>510</v>
      </c>
    </row>
    <row r="138" spans="1:7">
      <c r="A138" s="4">
        <v>151</v>
      </c>
      <c r="B138" s="4">
        <v>17</v>
      </c>
      <c r="C138" s="4">
        <v>1</v>
      </c>
      <c r="D138" s="66" t="s">
        <v>1964</v>
      </c>
      <c r="E138" s="4" t="s">
        <v>979</v>
      </c>
      <c r="F138">
        <f>VLOOKUP(B138,[1]Base!$A$8:$U$66,21,FALSE)</f>
        <v>4</v>
      </c>
      <c r="G138">
        <f t="shared" si="2"/>
        <v>401</v>
      </c>
    </row>
    <row r="139" spans="1:7">
      <c r="A139" s="4">
        <v>152</v>
      </c>
      <c r="B139" s="4">
        <v>17</v>
      </c>
      <c r="C139" s="4">
        <v>2</v>
      </c>
      <c r="D139" s="66" t="s">
        <v>1041</v>
      </c>
      <c r="E139" s="4" t="s">
        <v>809</v>
      </c>
      <c r="F139">
        <f>VLOOKUP(B139,[1]Base!$A$8:$U$66,21,FALSE)</f>
        <v>4</v>
      </c>
      <c r="G139">
        <f t="shared" si="2"/>
        <v>402</v>
      </c>
    </row>
    <row r="140" spans="1:7">
      <c r="A140" s="4">
        <v>153</v>
      </c>
      <c r="B140" s="4">
        <v>17</v>
      </c>
      <c r="C140" s="4">
        <v>3</v>
      </c>
      <c r="D140" s="66" t="s">
        <v>1964</v>
      </c>
      <c r="E140" s="4" t="s">
        <v>810</v>
      </c>
      <c r="F140">
        <f>VLOOKUP(B140,[1]Base!$A$8:$U$66,21,FALSE)</f>
        <v>4</v>
      </c>
      <c r="G140">
        <f t="shared" si="2"/>
        <v>403</v>
      </c>
    </row>
    <row r="141" spans="1:7">
      <c r="A141" s="4">
        <v>154</v>
      </c>
      <c r="B141" s="4">
        <v>17</v>
      </c>
      <c r="C141" s="4">
        <v>4</v>
      </c>
      <c r="D141" s="66" t="s">
        <v>1041</v>
      </c>
      <c r="E141" s="4" t="s">
        <v>811</v>
      </c>
      <c r="F141">
        <f>VLOOKUP(B141,[1]Base!$A$8:$U$66,21,FALSE)</f>
        <v>4</v>
      </c>
      <c r="G141">
        <f t="shared" si="2"/>
        <v>404</v>
      </c>
    </row>
    <row r="142" spans="1:7">
      <c r="A142" s="4">
        <v>155</v>
      </c>
      <c r="B142" s="4">
        <v>17</v>
      </c>
      <c r="C142" s="4">
        <v>5</v>
      </c>
      <c r="D142" s="66" t="s">
        <v>1965</v>
      </c>
      <c r="E142" s="4" t="s">
        <v>812</v>
      </c>
      <c r="F142">
        <f>VLOOKUP(B142,[1]Base!$A$8:$U$66,21,FALSE)</f>
        <v>4</v>
      </c>
      <c r="G142">
        <f t="shared" si="2"/>
        <v>405</v>
      </c>
    </row>
    <row r="143" spans="1:7">
      <c r="A143" s="4">
        <v>156</v>
      </c>
      <c r="B143">
        <v>17</v>
      </c>
      <c r="C143" s="4">
        <v>6</v>
      </c>
      <c r="D143" s="66" t="s">
        <v>1042</v>
      </c>
      <c r="E143" s="4" t="s">
        <v>814</v>
      </c>
      <c r="F143">
        <f>VLOOKUP(B143,[1]Base!$A$8:$U$66,21,FALSE)</f>
        <v>4</v>
      </c>
      <c r="G143">
        <f t="shared" si="2"/>
        <v>406</v>
      </c>
    </row>
    <row r="144" spans="1:7">
      <c r="A144" s="4">
        <v>157</v>
      </c>
      <c r="B144" s="4">
        <v>17</v>
      </c>
      <c r="C144" s="4">
        <v>7</v>
      </c>
      <c r="D144" s="66" t="s">
        <v>1965</v>
      </c>
      <c r="E144" s="4" t="s">
        <v>815</v>
      </c>
      <c r="F144">
        <f>VLOOKUP(B144,[1]Base!$A$8:$U$66,21,FALSE)</f>
        <v>4</v>
      </c>
      <c r="G144">
        <f t="shared" si="2"/>
        <v>407</v>
      </c>
    </row>
    <row r="145" spans="1:7">
      <c r="A145" s="4">
        <v>158</v>
      </c>
      <c r="B145" s="4">
        <v>17</v>
      </c>
      <c r="C145" s="4">
        <v>8</v>
      </c>
      <c r="D145" s="66" t="s">
        <v>1043</v>
      </c>
      <c r="E145" s="4" t="s">
        <v>816</v>
      </c>
      <c r="F145">
        <f>VLOOKUP(B145,[1]Base!$A$8:$U$66,21,FALSE)</f>
        <v>4</v>
      </c>
      <c r="G145">
        <f t="shared" si="2"/>
        <v>408</v>
      </c>
    </row>
    <row r="146" spans="1:7">
      <c r="A146" s="4">
        <v>159</v>
      </c>
      <c r="B146" s="4">
        <v>17</v>
      </c>
      <c r="C146" s="4">
        <v>9</v>
      </c>
      <c r="D146" s="66" t="s">
        <v>1966</v>
      </c>
      <c r="E146" s="4" t="s">
        <v>817</v>
      </c>
      <c r="F146">
        <f>VLOOKUP(B146,[1]Base!$A$8:$U$66,21,FALSE)</f>
        <v>4</v>
      </c>
      <c r="G146">
        <f t="shared" si="2"/>
        <v>409</v>
      </c>
    </row>
    <row r="147" spans="1:7">
      <c r="A147" s="4">
        <v>160</v>
      </c>
      <c r="B147" s="4">
        <v>17</v>
      </c>
      <c r="C147" s="4">
        <v>10</v>
      </c>
      <c r="D147" s="66" t="s">
        <v>1044</v>
      </c>
      <c r="E147" s="4" t="s">
        <v>818</v>
      </c>
      <c r="F147">
        <f>VLOOKUP(B147,[1]Base!$A$8:$U$66,21,FALSE)</f>
        <v>4</v>
      </c>
      <c r="G147">
        <f t="shared" si="2"/>
        <v>410</v>
      </c>
    </row>
    <row r="148" spans="1:7">
      <c r="A148" s="4">
        <v>161</v>
      </c>
      <c r="B148" s="4">
        <v>18</v>
      </c>
      <c r="C148" s="4">
        <v>1</v>
      </c>
      <c r="D148" s="66" t="s">
        <v>1964</v>
      </c>
      <c r="E148" s="4" t="s">
        <v>979</v>
      </c>
      <c r="F148">
        <f>VLOOKUP(B148,[1]Base!$A$8:$U$66,21,FALSE)</f>
        <v>4</v>
      </c>
      <c r="G148">
        <f t="shared" si="2"/>
        <v>401</v>
      </c>
    </row>
    <row r="149" spans="1:7">
      <c r="A149" s="4">
        <v>162</v>
      </c>
      <c r="B149" s="4">
        <v>18</v>
      </c>
      <c r="C149" s="4">
        <v>2</v>
      </c>
      <c r="D149" s="66" t="s">
        <v>1041</v>
      </c>
      <c r="E149" s="4" t="s">
        <v>809</v>
      </c>
      <c r="F149">
        <f>VLOOKUP(B149,[1]Base!$A$8:$U$66,21,FALSE)</f>
        <v>4</v>
      </c>
      <c r="G149">
        <f t="shared" si="2"/>
        <v>402</v>
      </c>
    </row>
    <row r="150" spans="1:7">
      <c r="A150" s="4">
        <v>163</v>
      </c>
      <c r="B150">
        <v>18</v>
      </c>
      <c r="C150" s="4">
        <v>3</v>
      </c>
      <c r="D150" s="66" t="s">
        <v>1964</v>
      </c>
      <c r="E150" s="4" t="s">
        <v>810</v>
      </c>
      <c r="F150">
        <f>VLOOKUP(B150,[1]Base!$A$8:$U$66,21,FALSE)</f>
        <v>4</v>
      </c>
      <c r="G150">
        <f t="shared" si="2"/>
        <v>403</v>
      </c>
    </row>
    <row r="151" spans="1:7">
      <c r="A151" s="4">
        <v>164</v>
      </c>
      <c r="B151" s="4">
        <v>18</v>
      </c>
      <c r="C151" s="4">
        <v>4</v>
      </c>
      <c r="D151" s="66" t="s">
        <v>1041</v>
      </c>
      <c r="E151" s="4" t="s">
        <v>811</v>
      </c>
      <c r="F151">
        <f>VLOOKUP(B151,[1]Base!$A$8:$U$66,21,FALSE)</f>
        <v>4</v>
      </c>
      <c r="G151">
        <f t="shared" si="2"/>
        <v>404</v>
      </c>
    </row>
    <row r="152" spans="1:7">
      <c r="A152" s="4">
        <v>165</v>
      </c>
      <c r="B152" s="4">
        <v>18</v>
      </c>
      <c r="C152" s="4">
        <v>5</v>
      </c>
      <c r="D152" s="66" t="s">
        <v>1965</v>
      </c>
      <c r="E152" s="4" t="s">
        <v>812</v>
      </c>
      <c r="F152">
        <f>VLOOKUP(B152,[1]Base!$A$8:$U$66,21,FALSE)</f>
        <v>4</v>
      </c>
      <c r="G152">
        <f t="shared" si="2"/>
        <v>405</v>
      </c>
    </row>
    <row r="153" spans="1:7">
      <c r="A153" s="4">
        <v>166</v>
      </c>
      <c r="B153" s="4">
        <v>18</v>
      </c>
      <c r="C153" s="4">
        <v>6</v>
      </c>
      <c r="D153" s="66" t="s">
        <v>1042</v>
      </c>
      <c r="E153" s="4" t="s">
        <v>814</v>
      </c>
      <c r="F153">
        <f>VLOOKUP(B153,[1]Base!$A$8:$U$66,21,FALSE)</f>
        <v>4</v>
      </c>
      <c r="G153">
        <f t="shared" si="2"/>
        <v>406</v>
      </c>
    </row>
    <row r="154" spans="1:7">
      <c r="A154" s="4">
        <v>167</v>
      </c>
      <c r="B154" s="4">
        <v>18</v>
      </c>
      <c r="C154" s="4">
        <v>7</v>
      </c>
      <c r="D154" s="66" t="s">
        <v>1965</v>
      </c>
      <c r="E154" s="4" t="s">
        <v>815</v>
      </c>
      <c r="F154">
        <f>VLOOKUP(B154,[1]Base!$A$8:$U$66,21,FALSE)</f>
        <v>4</v>
      </c>
      <c r="G154">
        <f t="shared" si="2"/>
        <v>407</v>
      </c>
    </row>
    <row r="155" spans="1:7">
      <c r="A155" s="4">
        <v>168</v>
      </c>
      <c r="B155" s="4">
        <v>18</v>
      </c>
      <c r="C155" s="4">
        <v>8</v>
      </c>
      <c r="D155" s="66" t="s">
        <v>1043</v>
      </c>
      <c r="E155" s="4" t="s">
        <v>816</v>
      </c>
      <c r="F155">
        <f>VLOOKUP(B155,[1]Base!$A$8:$U$66,21,FALSE)</f>
        <v>4</v>
      </c>
      <c r="G155">
        <f t="shared" si="2"/>
        <v>408</v>
      </c>
    </row>
    <row r="156" spans="1:7">
      <c r="A156" s="4">
        <v>169</v>
      </c>
      <c r="B156" s="4">
        <v>18</v>
      </c>
      <c r="C156" s="4">
        <v>9</v>
      </c>
      <c r="D156" s="66" t="s">
        <v>1966</v>
      </c>
      <c r="E156" s="4" t="s">
        <v>817</v>
      </c>
      <c r="F156">
        <f>VLOOKUP(B156,[1]Base!$A$8:$U$66,21,FALSE)</f>
        <v>4</v>
      </c>
      <c r="G156">
        <f t="shared" si="2"/>
        <v>409</v>
      </c>
    </row>
    <row r="157" spans="1:7">
      <c r="A157" s="4">
        <v>170</v>
      </c>
      <c r="B157">
        <v>18</v>
      </c>
      <c r="C157" s="4">
        <v>10</v>
      </c>
      <c r="D157" s="66" t="s">
        <v>1044</v>
      </c>
      <c r="E157" s="4" t="s">
        <v>818</v>
      </c>
      <c r="F157">
        <f>VLOOKUP(B157,[1]Base!$A$8:$U$66,21,FALSE)</f>
        <v>4</v>
      </c>
      <c r="G157">
        <f t="shared" si="2"/>
        <v>410</v>
      </c>
    </row>
    <row r="158" spans="1:7">
      <c r="A158" s="4">
        <v>171</v>
      </c>
      <c r="B158" s="4">
        <v>19</v>
      </c>
      <c r="C158" s="4">
        <v>1</v>
      </c>
      <c r="D158" s="66" t="s">
        <v>1965</v>
      </c>
      <c r="E158" s="4" t="s">
        <v>979</v>
      </c>
      <c r="F158">
        <f>VLOOKUP(B158,[1]Base!$A$8:$U$66,21,FALSE)</f>
        <v>5</v>
      </c>
      <c r="G158">
        <f t="shared" si="2"/>
        <v>501</v>
      </c>
    </row>
    <row r="159" spans="1:7">
      <c r="A159" s="4">
        <v>172</v>
      </c>
      <c r="B159">
        <v>19</v>
      </c>
      <c r="C159" s="4">
        <v>2</v>
      </c>
      <c r="D159" s="66" t="s">
        <v>2555</v>
      </c>
      <c r="E159" s="4" t="s">
        <v>809</v>
      </c>
      <c r="F159">
        <f>VLOOKUP(B159,[1]Base!$A$8:$U$66,21,FALSE)</f>
        <v>5</v>
      </c>
      <c r="G159">
        <f t="shared" si="2"/>
        <v>502</v>
      </c>
    </row>
    <row r="160" spans="1:7">
      <c r="A160" s="4">
        <v>173</v>
      </c>
      <c r="B160">
        <v>19</v>
      </c>
      <c r="C160" s="4">
        <v>3</v>
      </c>
      <c r="D160" s="66" t="s">
        <v>1965</v>
      </c>
      <c r="E160" s="4" t="s">
        <v>810</v>
      </c>
      <c r="F160">
        <f>VLOOKUP(B160,[1]Base!$A$8:$U$66,21,FALSE)</f>
        <v>5</v>
      </c>
      <c r="G160">
        <f t="shared" si="2"/>
        <v>503</v>
      </c>
    </row>
    <row r="161" spans="1:7">
      <c r="A161" s="4">
        <v>174</v>
      </c>
      <c r="B161">
        <v>19</v>
      </c>
      <c r="C161" s="4">
        <v>4</v>
      </c>
      <c r="D161" s="66" t="s">
        <v>2556</v>
      </c>
      <c r="E161" s="4" t="s">
        <v>811</v>
      </c>
      <c r="F161">
        <f>VLOOKUP(B161,[1]Base!$A$8:$U$66,21,FALSE)</f>
        <v>5</v>
      </c>
      <c r="G161">
        <f t="shared" si="2"/>
        <v>504</v>
      </c>
    </row>
    <row r="162" spans="1:7">
      <c r="A162" s="4">
        <v>175</v>
      </c>
      <c r="B162">
        <v>19</v>
      </c>
      <c r="C162" s="4">
        <v>5</v>
      </c>
      <c r="D162" s="66" t="s">
        <v>1966</v>
      </c>
      <c r="E162" s="4" t="s">
        <v>812</v>
      </c>
      <c r="F162">
        <f>VLOOKUP(B162,[1]Base!$A$8:$U$66,21,FALSE)</f>
        <v>5</v>
      </c>
      <c r="G162">
        <f t="shared" si="2"/>
        <v>505</v>
      </c>
    </row>
    <row r="163" spans="1:7">
      <c r="A163" s="4">
        <v>176</v>
      </c>
      <c r="B163" s="4">
        <v>19</v>
      </c>
      <c r="C163" s="4">
        <v>6</v>
      </c>
      <c r="D163" s="66" t="s">
        <v>2556</v>
      </c>
      <c r="E163" s="4" t="s">
        <v>814</v>
      </c>
      <c r="F163">
        <f>VLOOKUP(B163,[1]Base!$A$8:$U$66,21,FALSE)</f>
        <v>5</v>
      </c>
      <c r="G163">
        <f t="shared" si="2"/>
        <v>506</v>
      </c>
    </row>
    <row r="164" spans="1:7">
      <c r="A164" s="4">
        <v>177</v>
      </c>
      <c r="B164" s="4">
        <v>19</v>
      </c>
      <c r="C164" s="4">
        <v>7</v>
      </c>
      <c r="D164" s="66" t="s">
        <v>1966</v>
      </c>
      <c r="E164" s="4" t="s">
        <v>815</v>
      </c>
      <c r="F164">
        <f>VLOOKUP(B164,[1]Base!$A$8:$U$66,21,FALSE)</f>
        <v>5</v>
      </c>
      <c r="G164">
        <f t="shared" si="2"/>
        <v>507</v>
      </c>
    </row>
    <row r="165" spans="1:7">
      <c r="A165" s="4">
        <v>178</v>
      </c>
      <c r="B165" s="4">
        <v>19</v>
      </c>
      <c r="C165" s="4">
        <v>8</v>
      </c>
      <c r="D165" s="66" t="s">
        <v>2557</v>
      </c>
      <c r="E165" s="4" t="s">
        <v>816</v>
      </c>
      <c r="F165">
        <f>VLOOKUP(B165,[1]Base!$A$8:$U$66,21,FALSE)</f>
        <v>5</v>
      </c>
      <c r="G165">
        <f t="shared" si="2"/>
        <v>508</v>
      </c>
    </row>
    <row r="166" spans="1:7">
      <c r="A166" s="4">
        <v>179</v>
      </c>
      <c r="B166" s="4">
        <v>19</v>
      </c>
      <c r="C166" s="4">
        <v>9</v>
      </c>
      <c r="D166" s="66" t="s">
        <v>1968</v>
      </c>
      <c r="E166" s="4" t="s">
        <v>817</v>
      </c>
      <c r="F166">
        <f>VLOOKUP(B166,[1]Base!$A$8:$U$66,21,FALSE)</f>
        <v>5</v>
      </c>
      <c r="G166">
        <f t="shared" si="2"/>
        <v>509</v>
      </c>
    </row>
    <row r="167" spans="1:7">
      <c r="A167" s="4">
        <v>180</v>
      </c>
      <c r="B167" s="4">
        <v>19</v>
      </c>
      <c r="C167" s="4">
        <v>10</v>
      </c>
      <c r="D167" s="66" t="s">
        <v>2558</v>
      </c>
      <c r="E167" s="4" t="s">
        <v>818</v>
      </c>
      <c r="F167">
        <f>VLOOKUP(B167,[1]Base!$A$8:$U$66,21,FALSE)</f>
        <v>5</v>
      </c>
      <c r="G167">
        <f t="shared" si="2"/>
        <v>510</v>
      </c>
    </row>
    <row r="168" spans="1:7">
      <c r="A168" s="4">
        <v>181</v>
      </c>
      <c r="B168" s="4">
        <v>20</v>
      </c>
      <c r="C168" s="4">
        <v>1</v>
      </c>
      <c r="D168" s="66" t="s">
        <v>1965</v>
      </c>
      <c r="E168" s="4" t="s">
        <v>979</v>
      </c>
      <c r="F168">
        <f>VLOOKUP(B168,[1]Base!$A$8:$U$66,21,FALSE)</f>
        <v>5</v>
      </c>
      <c r="G168">
        <f t="shared" si="2"/>
        <v>501</v>
      </c>
    </row>
    <row r="169" spans="1:7">
      <c r="A169" s="4">
        <v>182</v>
      </c>
      <c r="B169" s="4">
        <v>20</v>
      </c>
      <c r="C169" s="4">
        <v>2</v>
      </c>
      <c r="D169" s="66" t="s">
        <v>2555</v>
      </c>
      <c r="E169" s="4" t="s">
        <v>809</v>
      </c>
      <c r="F169">
        <f>VLOOKUP(B169,[1]Base!$A$8:$U$66,21,FALSE)</f>
        <v>5</v>
      </c>
      <c r="G169">
        <f t="shared" si="2"/>
        <v>502</v>
      </c>
    </row>
    <row r="170" spans="1:7">
      <c r="A170" s="4">
        <v>183</v>
      </c>
      <c r="B170">
        <v>20</v>
      </c>
      <c r="C170" s="4">
        <v>3</v>
      </c>
      <c r="D170" s="66" t="s">
        <v>1965</v>
      </c>
      <c r="E170" s="4" t="s">
        <v>810</v>
      </c>
      <c r="F170">
        <f>VLOOKUP(B170,[1]Base!$A$8:$U$66,21,FALSE)</f>
        <v>5</v>
      </c>
      <c r="G170">
        <f t="shared" si="2"/>
        <v>503</v>
      </c>
    </row>
    <row r="171" spans="1:7">
      <c r="A171" s="4">
        <v>184</v>
      </c>
      <c r="B171" s="4">
        <v>20</v>
      </c>
      <c r="C171" s="4">
        <v>4</v>
      </c>
      <c r="D171" s="66" t="s">
        <v>2556</v>
      </c>
      <c r="E171" s="4" t="s">
        <v>811</v>
      </c>
      <c r="F171">
        <f>VLOOKUP(B171,[1]Base!$A$8:$U$66,21,FALSE)</f>
        <v>5</v>
      </c>
      <c r="G171">
        <f t="shared" si="2"/>
        <v>504</v>
      </c>
    </row>
    <row r="172" spans="1:7">
      <c r="A172" s="4">
        <v>185</v>
      </c>
      <c r="B172" s="4">
        <v>20</v>
      </c>
      <c r="C172" s="4">
        <v>5</v>
      </c>
      <c r="D172" s="66" t="s">
        <v>1966</v>
      </c>
      <c r="E172" s="4" t="s">
        <v>812</v>
      </c>
      <c r="F172">
        <f>VLOOKUP(B172,[1]Base!$A$8:$U$66,21,FALSE)</f>
        <v>5</v>
      </c>
      <c r="G172">
        <f t="shared" si="2"/>
        <v>505</v>
      </c>
    </row>
    <row r="173" spans="1:7">
      <c r="A173" s="4">
        <v>186</v>
      </c>
      <c r="B173" s="4">
        <v>20</v>
      </c>
      <c r="C173" s="4">
        <v>6</v>
      </c>
      <c r="D173" s="66" t="s">
        <v>2556</v>
      </c>
      <c r="E173" s="4" t="s">
        <v>814</v>
      </c>
      <c r="F173">
        <f>VLOOKUP(B173,[1]Base!$A$8:$U$66,21,FALSE)</f>
        <v>5</v>
      </c>
      <c r="G173">
        <f t="shared" si="2"/>
        <v>506</v>
      </c>
    </row>
    <row r="174" spans="1:7">
      <c r="A174" s="4">
        <v>187</v>
      </c>
      <c r="B174" s="4">
        <v>20</v>
      </c>
      <c r="C174" s="4">
        <v>7</v>
      </c>
      <c r="D174" s="66" t="s">
        <v>1966</v>
      </c>
      <c r="E174" s="4" t="s">
        <v>815</v>
      </c>
      <c r="F174">
        <f>VLOOKUP(B174,[1]Base!$A$8:$U$66,21,FALSE)</f>
        <v>5</v>
      </c>
      <c r="G174">
        <f t="shared" si="2"/>
        <v>507</v>
      </c>
    </row>
    <row r="175" spans="1:7">
      <c r="A175" s="4">
        <v>188</v>
      </c>
      <c r="B175" s="4">
        <v>20</v>
      </c>
      <c r="C175" s="4">
        <v>8</v>
      </c>
      <c r="D175" s="66" t="s">
        <v>2557</v>
      </c>
      <c r="E175" s="4" t="s">
        <v>816</v>
      </c>
      <c r="F175">
        <f>VLOOKUP(B175,[1]Base!$A$8:$U$66,21,FALSE)</f>
        <v>5</v>
      </c>
      <c r="G175">
        <f t="shared" si="2"/>
        <v>508</v>
      </c>
    </row>
    <row r="176" spans="1:7">
      <c r="A176" s="4">
        <v>189</v>
      </c>
      <c r="B176" s="4">
        <v>20</v>
      </c>
      <c r="C176" s="4">
        <v>9</v>
      </c>
      <c r="D176" s="66" t="s">
        <v>1968</v>
      </c>
      <c r="E176" s="4" t="s">
        <v>817</v>
      </c>
      <c r="F176">
        <f>VLOOKUP(B176,[1]Base!$A$8:$U$66,21,FALSE)</f>
        <v>5</v>
      </c>
      <c r="G176">
        <f t="shared" si="2"/>
        <v>509</v>
      </c>
    </row>
    <row r="177" spans="1:7">
      <c r="A177" s="4">
        <v>190</v>
      </c>
      <c r="B177">
        <v>20</v>
      </c>
      <c r="C177" s="4">
        <v>10</v>
      </c>
      <c r="D177" s="66" t="s">
        <v>2558</v>
      </c>
      <c r="E177" s="4" t="s">
        <v>818</v>
      </c>
      <c r="F177">
        <f>VLOOKUP(B177,[1]Base!$A$8:$U$66,21,FALSE)</f>
        <v>5</v>
      </c>
      <c r="G177">
        <f t="shared" si="2"/>
        <v>510</v>
      </c>
    </row>
    <row r="178" spans="1:7">
      <c r="A178" s="4">
        <v>191</v>
      </c>
      <c r="B178" s="4">
        <v>21</v>
      </c>
      <c r="C178" s="4">
        <v>1</v>
      </c>
      <c r="D178" s="66" t="s">
        <v>1964</v>
      </c>
      <c r="E178" s="4" t="s">
        <v>979</v>
      </c>
      <c r="F178">
        <f>VLOOKUP(B178,[1]Base!$A$8:$U$66,21,FALSE)</f>
        <v>4</v>
      </c>
      <c r="G178">
        <f t="shared" si="2"/>
        <v>401</v>
      </c>
    </row>
    <row r="179" spans="1:7">
      <c r="A179" s="4">
        <v>192</v>
      </c>
      <c r="B179" s="4">
        <v>21</v>
      </c>
      <c r="C179" s="4">
        <v>2</v>
      </c>
      <c r="D179" s="66" t="s">
        <v>1041</v>
      </c>
      <c r="E179" s="4" t="s">
        <v>809</v>
      </c>
      <c r="F179">
        <f>VLOOKUP(B179,[1]Base!$A$8:$U$66,21,FALSE)</f>
        <v>4</v>
      </c>
      <c r="G179">
        <f t="shared" si="2"/>
        <v>402</v>
      </c>
    </row>
    <row r="180" spans="1:7">
      <c r="A180" s="4">
        <v>193</v>
      </c>
      <c r="B180" s="4">
        <v>21</v>
      </c>
      <c r="C180" s="4">
        <v>3</v>
      </c>
      <c r="D180" s="66" t="s">
        <v>1964</v>
      </c>
      <c r="E180" s="4" t="s">
        <v>810</v>
      </c>
      <c r="F180">
        <f>VLOOKUP(B180,[1]Base!$A$8:$U$66,21,FALSE)</f>
        <v>4</v>
      </c>
      <c r="G180">
        <f t="shared" si="2"/>
        <v>403</v>
      </c>
    </row>
    <row r="181" spans="1:7">
      <c r="A181" s="4">
        <v>194</v>
      </c>
      <c r="B181" s="4">
        <v>21</v>
      </c>
      <c r="C181" s="4">
        <v>4</v>
      </c>
      <c r="D181" s="66" t="s">
        <v>1041</v>
      </c>
      <c r="E181" s="4" t="s">
        <v>811</v>
      </c>
      <c r="F181">
        <f>VLOOKUP(B181,[1]Base!$A$8:$U$66,21,FALSE)</f>
        <v>4</v>
      </c>
      <c r="G181">
        <f t="shared" si="2"/>
        <v>404</v>
      </c>
    </row>
    <row r="182" spans="1:7">
      <c r="A182" s="4">
        <v>195</v>
      </c>
      <c r="B182" s="4">
        <v>21</v>
      </c>
      <c r="C182" s="4">
        <v>5</v>
      </c>
      <c r="D182" s="66" t="s">
        <v>1965</v>
      </c>
      <c r="E182" s="4" t="s">
        <v>812</v>
      </c>
      <c r="F182">
        <f>VLOOKUP(B182,[1]Base!$A$8:$U$66,21,FALSE)</f>
        <v>4</v>
      </c>
      <c r="G182">
        <f t="shared" si="2"/>
        <v>405</v>
      </c>
    </row>
    <row r="183" spans="1:7">
      <c r="A183" s="4">
        <v>196</v>
      </c>
      <c r="B183" s="4">
        <v>21</v>
      </c>
      <c r="C183" s="4">
        <v>6</v>
      </c>
      <c r="D183" s="66" t="s">
        <v>1042</v>
      </c>
      <c r="E183" s="4" t="s">
        <v>814</v>
      </c>
      <c r="F183">
        <f>VLOOKUP(B183,[1]Base!$A$8:$U$66,21,FALSE)</f>
        <v>4</v>
      </c>
      <c r="G183">
        <f t="shared" si="2"/>
        <v>406</v>
      </c>
    </row>
    <row r="184" spans="1:7">
      <c r="A184" s="4">
        <v>197</v>
      </c>
      <c r="B184" s="4">
        <v>21</v>
      </c>
      <c r="C184" s="4">
        <v>7</v>
      </c>
      <c r="D184" s="66" t="s">
        <v>1965</v>
      </c>
      <c r="E184" s="4" t="s">
        <v>815</v>
      </c>
      <c r="F184">
        <f>VLOOKUP(B184,[1]Base!$A$8:$U$66,21,FALSE)</f>
        <v>4</v>
      </c>
      <c r="G184">
        <f t="shared" si="2"/>
        <v>407</v>
      </c>
    </row>
    <row r="185" spans="1:7">
      <c r="A185" s="4">
        <v>198</v>
      </c>
      <c r="B185">
        <v>21</v>
      </c>
      <c r="C185" s="4">
        <v>8</v>
      </c>
      <c r="D185" s="66" t="s">
        <v>1043</v>
      </c>
      <c r="E185" s="4" t="s">
        <v>816</v>
      </c>
      <c r="F185">
        <f>VLOOKUP(B185,[1]Base!$A$8:$U$66,21,FALSE)</f>
        <v>4</v>
      </c>
      <c r="G185">
        <f t="shared" si="2"/>
        <v>408</v>
      </c>
    </row>
    <row r="186" spans="1:7">
      <c r="A186" s="4">
        <v>199</v>
      </c>
      <c r="B186" s="4">
        <v>21</v>
      </c>
      <c r="C186" s="4">
        <v>9</v>
      </c>
      <c r="D186" s="66" t="s">
        <v>1966</v>
      </c>
      <c r="E186" s="4" t="s">
        <v>817</v>
      </c>
      <c r="F186">
        <f>VLOOKUP(B186,[1]Base!$A$8:$U$66,21,FALSE)</f>
        <v>4</v>
      </c>
      <c r="G186">
        <f t="shared" si="2"/>
        <v>409</v>
      </c>
    </row>
    <row r="187" spans="1:7">
      <c r="A187" s="4">
        <v>200</v>
      </c>
      <c r="B187" s="4">
        <v>21</v>
      </c>
      <c r="C187" s="4">
        <v>10</v>
      </c>
      <c r="D187" s="66" t="s">
        <v>1044</v>
      </c>
      <c r="E187" s="4" t="s">
        <v>818</v>
      </c>
      <c r="F187">
        <f>VLOOKUP(B187,[1]Base!$A$8:$U$66,21,FALSE)</f>
        <v>4</v>
      </c>
      <c r="G187">
        <f t="shared" si="2"/>
        <v>410</v>
      </c>
    </row>
    <row r="188" spans="1:7">
      <c r="A188" s="4">
        <v>201</v>
      </c>
      <c r="B188" s="4">
        <v>22</v>
      </c>
      <c r="C188" s="4">
        <v>1</v>
      </c>
      <c r="D188" s="66" t="s">
        <v>1967</v>
      </c>
      <c r="E188" s="4" t="s">
        <v>979</v>
      </c>
      <c r="F188">
        <f>VLOOKUP(B188,[1]Base!$A$8:$U$66,21,FALSE)</f>
        <v>3</v>
      </c>
      <c r="G188">
        <f t="shared" si="2"/>
        <v>301</v>
      </c>
    </row>
    <row r="189" spans="1:7">
      <c r="A189" s="4">
        <v>202</v>
      </c>
      <c r="B189" s="4">
        <v>22</v>
      </c>
      <c r="C189" s="4">
        <v>2</v>
      </c>
      <c r="D189" s="66" t="s">
        <v>1045</v>
      </c>
      <c r="E189" s="4" t="s">
        <v>809</v>
      </c>
      <c r="F189">
        <f>VLOOKUP(B189,[1]Base!$A$8:$U$66,21,FALSE)</f>
        <v>3</v>
      </c>
      <c r="G189">
        <f t="shared" si="2"/>
        <v>302</v>
      </c>
    </row>
    <row r="190" spans="1:7">
      <c r="A190" s="4">
        <v>203</v>
      </c>
      <c r="B190" s="4">
        <v>22</v>
      </c>
      <c r="C190" s="4">
        <v>3</v>
      </c>
      <c r="D190" s="66" t="s">
        <v>1967</v>
      </c>
      <c r="E190" s="4" t="s">
        <v>810</v>
      </c>
      <c r="F190">
        <f>VLOOKUP(B190,[1]Base!$A$8:$U$66,21,FALSE)</f>
        <v>3</v>
      </c>
      <c r="G190">
        <f t="shared" si="2"/>
        <v>303</v>
      </c>
    </row>
    <row r="191" spans="1:7">
      <c r="A191" s="4">
        <v>204</v>
      </c>
      <c r="B191" s="4">
        <v>22</v>
      </c>
      <c r="C191" s="4">
        <v>4</v>
      </c>
      <c r="D191" s="66" t="s">
        <v>1045</v>
      </c>
      <c r="E191" s="4" t="s">
        <v>811</v>
      </c>
      <c r="F191">
        <f>VLOOKUP(B191,[1]Base!$A$8:$U$66,21,FALSE)</f>
        <v>3</v>
      </c>
      <c r="G191">
        <f t="shared" si="2"/>
        <v>304</v>
      </c>
    </row>
    <row r="192" spans="1:7">
      <c r="A192" s="4">
        <v>205</v>
      </c>
      <c r="B192">
        <v>22</v>
      </c>
      <c r="C192" s="4">
        <v>5</v>
      </c>
      <c r="D192" s="66" t="s">
        <v>1964</v>
      </c>
      <c r="E192" s="4" t="s">
        <v>812</v>
      </c>
      <c r="F192">
        <f>VLOOKUP(B192,[1]Base!$A$8:$U$66,21,FALSE)</f>
        <v>3</v>
      </c>
      <c r="G192">
        <f t="shared" si="2"/>
        <v>305</v>
      </c>
    </row>
    <row r="193" spans="1:7">
      <c r="A193" s="4">
        <v>206</v>
      </c>
      <c r="B193" s="4">
        <v>22</v>
      </c>
      <c r="C193" s="4">
        <v>6</v>
      </c>
      <c r="D193" s="66" t="s">
        <v>1046</v>
      </c>
      <c r="E193" s="4" t="s">
        <v>814</v>
      </c>
      <c r="F193">
        <f>VLOOKUP(B193,[1]Base!$A$8:$U$66,21,FALSE)</f>
        <v>3</v>
      </c>
      <c r="G193">
        <f t="shared" si="2"/>
        <v>306</v>
      </c>
    </row>
    <row r="194" spans="1:7">
      <c r="A194" s="4">
        <v>207</v>
      </c>
      <c r="B194" s="4">
        <v>22</v>
      </c>
      <c r="C194" s="4">
        <v>7</v>
      </c>
      <c r="D194" s="66" t="s">
        <v>1964</v>
      </c>
      <c r="E194" s="4" t="s">
        <v>815</v>
      </c>
      <c r="F194">
        <f>VLOOKUP(B194,[1]Base!$A$8:$U$66,21,FALSE)</f>
        <v>3</v>
      </c>
      <c r="G194">
        <f t="shared" si="2"/>
        <v>307</v>
      </c>
    </row>
    <row r="195" spans="1:7">
      <c r="A195" s="4">
        <v>208</v>
      </c>
      <c r="B195" s="4">
        <v>22</v>
      </c>
      <c r="C195" s="4">
        <v>8</v>
      </c>
      <c r="D195" s="66" t="s">
        <v>1042</v>
      </c>
      <c r="E195" s="4" t="s">
        <v>816</v>
      </c>
      <c r="F195">
        <f>VLOOKUP(B195,[1]Base!$A$8:$U$66,21,FALSE)</f>
        <v>3</v>
      </c>
      <c r="G195">
        <f t="shared" si="2"/>
        <v>308</v>
      </c>
    </row>
    <row r="196" spans="1:7">
      <c r="A196" s="4">
        <v>209</v>
      </c>
      <c r="B196" s="4">
        <v>22</v>
      </c>
      <c r="C196" s="4">
        <v>9</v>
      </c>
      <c r="D196" s="66" t="s">
        <v>1965</v>
      </c>
      <c r="E196" s="4" t="s">
        <v>817</v>
      </c>
      <c r="F196">
        <f>VLOOKUP(B196,[1]Base!$A$8:$U$66,21,FALSE)</f>
        <v>3</v>
      </c>
      <c r="G196">
        <f t="shared" si="2"/>
        <v>309</v>
      </c>
    </row>
    <row r="197" spans="1:7">
      <c r="A197" s="4">
        <v>210</v>
      </c>
      <c r="B197" s="4">
        <v>22</v>
      </c>
      <c r="C197" s="4">
        <v>10</v>
      </c>
      <c r="D197" s="66" t="s">
        <v>1047</v>
      </c>
      <c r="E197" s="4" t="s">
        <v>818</v>
      </c>
      <c r="F197">
        <f>VLOOKUP(B197,[1]Base!$A$8:$U$66,21,FALSE)</f>
        <v>3</v>
      </c>
      <c r="G197">
        <f t="shared" si="2"/>
        <v>310</v>
      </c>
    </row>
    <row r="198" spans="1:7">
      <c r="A198" s="4">
        <v>221</v>
      </c>
      <c r="B198" s="4">
        <v>24</v>
      </c>
      <c r="C198" s="4">
        <v>1</v>
      </c>
      <c r="D198" s="66" t="s">
        <v>1965</v>
      </c>
      <c r="E198" s="4" t="s">
        <v>979</v>
      </c>
      <c r="F198">
        <f>VLOOKUP(B198,[1]Base!$A$8:$U$66,21,FALSE)</f>
        <v>5</v>
      </c>
      <c r="G198">
        <f t="shared" si="2"/>
        <v>501</v>
      </c>
    </row>
    <row r="199" spans="1:7">
      <c r="A199" s="4">
        <v>222</v>
      </c>
      <c r="B199">
        <v>24</v>
      </c>
      <c r="C199" s="4">
        <v>2</v>
      </c>
      <c r="D199" s="66" t="s">
        <v>2555</v>
      </c>
      <c r="E199" s="4" t="s">
        <v>809</v>
      </c>
      <c r="F199">
        <f>VLOOKUP(B199,[1]Base!$A$8:$U$66,21,FALSE)</f>
        <v>5</v>
      </c>
      <c r="G199">
        <f t="shared" si="2"/>
        <v>502</v>
      </c>
    </row>
    <row r="200" spans="1:7">
      <c r="A200" s="4">
        <v>223</v>
      </c>
      <c r="B200">
        <v>24</v>
      </c>
      <c r="C200" s="4">
        <v>3</v>
      </c>
      <c r="D200" s="66" t="s">
        <v>1965</v>
      </c>
      <c r="E200" s="4" t="s">
        <v>810</v>
      </c>
      <c r="F200">
        <f>VLOOKUP(B200,[1]Base!$A$8:$U$66,21,FALSE)</f>
        <v>5</v>
      </c>
      <c r="G200">
        <f t="shared" si="2"/>
        <v>503</v>
      </c>
    </row>
    <row r="201" spans="1:7">
      <c r="A201" s="4">
        <v>224</v>
      </c>
      <c r="B201">
        <v>24</v>
      </c>
      <c r="C201" s="4">
        <v>4</v>
      </c>
      <c r="D201" s="66" t="s">
        <v>2556</v>
      </c>
      <c r="E201" s="4" t="s">
        <v>811</v>
      </c>
      <c r="F201">
        <f>VLOOKUP(B201,[1]Base!$A$8:$U$66,21,FALSE)</f>
        <v>5</v>
      </c>
      <c r="G201">
        <f t="shared" ref="G201:G264" si="3">F201*100+C201</f>
        <v>504</v>
      </c>
    </row>
    <row r="202" spans="1:7">
      <c r="A202" s="4">
        <v>225</v>
      </c>
      <c r="B202" s="4">
        <v>24</v>
      </c>
      <c r="C202" s="4">
        <v>5</v>
      </c>
      <c r="D202" s="66" t="s">
        <v>1966</v>
      </c>
      <c r="E202" s="4" t="s">
        <v>812</v>
      </c>
      <c r="F202">
        <f>VLOOKUP(B202,[1]Base!$A$8:$U$66,21,FALSE)</f>
        <v>5</v>
      </c>
      <c r="G202">
        <f t="shared" si="3"/>
        <v>505</v>
      </c>
    </row>
    <row r="203" spans="1:7">
      <c r="A203" s="4">
        <v>226</v>
      </c>
      <c r="B203" s="4">
        <v>24</v>
      </c>
      <c r="C203" s="4">
        <v>6</v>
      </c>
      <c r="D203" s="66" t="s">
        <v>2556</v>
      </c>
      <c r="E203" s="4" t="s">
        <v>814</v>
      </c>
      <c r="F203">
        <f>VLOOKUP(B203,[1]Base!$A$8:$U$66,21,FALSE)</f>
        <v>5</v>
      </c>
      <c r="G203">
        <f t="shared" si="3"/>
        <v>506</v>
      </c>
    </row>
    <row r="204" spans="1:7">
      <c r="A204" s="4">
        <v>227</v>
      </c>
      <c r="B204" s="4">
        <v>24</v>
      </c>
      <c r="C204" s="4">
        <v>7</v>
      </c>
      <c r="D204" s="66" t="s">
        <v>1966</v>
      </c>
      <c r="E204" s="4" t="s">
        <v>815</v>
      </c>
      <c r="F204">
        <f>VLOOKUP(B204,[1]Base!$A$8:$U$66,21,FALSE)</f>
        <v>5</v>
      </c>
      <c r="G204">
        <f t="shared" si="3"/>
        <v>507</v>
      </c>
    </row>
    <row r="205" spans="1:7">
      <c r="A205" s="4">
        <v>228</v>
      </c>
      <c r="B205" s="4">
        <v>24</v>
      </c>
      <c r="C205" s="4">
        <v>8</v>
      </c>
      <c r="D205" s="66" t="s">
        <v>2557</v>
      </c>
      <c r="E205" s="4" t="s">
        <v>816</v>
      </c>
      <c r="F205">
        <f>VLOOKUP(B205,[1]Base!$A$8:$U$66,21,FALSE)</f>
        <v>5</v>
      </c>
      <c r="G205">
        <f t="shared" si="3"/>
        <v>508</v>
      </c>
    </row>
    <row r="206" spans="1:7">
      <c r="A206" s="4">
        <v>229</v>
      </c>
      <c r="B206" s="4">
        <v>24</v>
      </c>
      <c r="C206" s="4">
        <v>9</v>
      </c>
      <c r="D206" s="66" t="s">
        <v>1968</v>
      </c>
      <c r="E206" s="4" t="s">
        <v>817</v>
      </c>
      <c r="F206">
        <f>VLOOKUP(B206,[1]Base!$A$8:$U$66,21,FALSE)</f>
        <v>5</v>
      </c>
      <c r="G206">
        <f t="shared" si="3"/>
        <v>509</v>
      </c>
    </row>
    <row r="207" spans="1:7">
      <c r="A207" s="4">
        <v>230</v>
      </c>
      <c r="B207" s="4">
        <v>24</v>
      </c>
      <c r="C207" s="4">
        <v>10</v>
      </c>
      <c r="D207" s="66" t="s">
        <v>2558</v>
      </c>
      <c r="E207" s="4" t="s">
        <v>818</v>
      </c>
      <c r="F207">
        <f>VLOOKUP(B207,[1]Base!$A$8:$U$66,21,FALSE)</f>
        <v>5</v>
      </c>
      <c r="G207">
        <f t="shared" si="3"/>
        <v>510</v>
      </c>
    </row>
    <row r="208" spans="1:7">
      <c r="A208" s="4">
        <v>231</v>
      </c>
      <c r="B208" s="4">
        <v>25</v>
      </c>
      <c r="C208" s="4">
        <v>1</v>
      </c>
      <c r="D208" s="66" t="s">
        <v>1964</v>
      </c>
      <c r="E208" s="4" t="s">
        <v>979</v>
      </c>
      <c r="F208">
        <f>VLOOKUP(B208,[1]Base!$A$8:$U$66,21,FALSE)</f>
        <v>4</v>
      </c>
      <c r="G208">
        <f t="shared" si="3"/>
        <v>401</v>
      </c>
    </row>
    <row r="209" spans="1:7">
      <c r="A209" s="4">
        <v>232</v>
      </c>
      <c r="B209">
        <v>25</v>
      </c>
      <c r="C209" s="4">
        <v>2</v>
      </c>
      <c r="D209" s="66" t="s">
        <v>1041</v>
      </c>
      <c r="E209" s="4" t="s">
        <v>809</v>
      </c>
      <c r="F209">
        <f>VLOOKUP(B209,[1]Base!$A$8:$U$66,21,FALSE)</f>
        <v>4</v>
      </c>
      <c r="G209">
        <f t="shared" si="3"/>
        <v>402</v>
      </c>
    </row>
    <row r="210" spans="1:7">
      <c r="A210" s="4">
        <v>233</v>
      </c>
      <c r="B210" s="4">
        <v>25</v>
      </c>
      <c r="C210" s="4">
        <v>3</v>
      </c>
      <c r="D210" s="66" t="s">
        <v>1964</v>
      </c>
      <c r="E210" s="4" t="s">
        <v>810</v>
      </c>
      <c r="F210">
        <f>VLOOKUP(B210,[1]Base!$A$8:$U$66,21,FALSE)</f>
        <v>4</v>
      </c>
      <c r="G210">
        <f t="shared" si="3"/>
        <v>403</v>
      </c>
    </row>
    <row r="211" spans="1:7">
      <c r="A211" s="4">
        <v>234</v>
      </c>
      <c r="B211" s="4">
        <v>25</v>
      </c>
      <c r="C211" s="4">
        <v>4</v>
      </c>
      <c r="D211" s="66" t="s">
        <v>1041</v>
      </c>
      <c r="E211" s="4" t="s">
        <v>811</v>
      </c>
      <c r="F211">
        <f>VLOOKUP(B211,[1]Base!$A$8:$U$66,21,FALSE)</f>
        <v>4</v>
      </c>
      <c r="G211">
        <f t="shared" si="3"/>
        <v>404</v>
      </c>
    </row>
    <row r="212" spans="1:7">
      <c r="A212" s="4">
        <v>235</v>
      </c>
      <c r="B212" s="4">
        <v>25</v>
      </c>
      <c r="C212" s="4">
        <v>5</v>
      </c>
      <c r="D212" s="66" t="s">
        <v>1965</v>
      </c>
      <c r="E212" s="4" t="s">
        <v>812</v>
      </c>
      <c r="F212">
        <f>VLOOKUP(B212,[1]Base!$A$8:$U$66,21,FALSE)</f>
        <v>4</v>
      </c>
      <c r="G212">
        <f t="shared" si="3"/>
        <v>405</v>
      </c>
    </row>
    <row r="213" spans="1:7">
      <c r="A213" s="4">
        <v>236</v>
      </c>
      <c r="B213" s="4">
        <v>25</v>
      </c>
      <c r="C213" s="4">
        <v>6</v>
      </c>
      <c r="D213" s="66" t="s">
        <v>1042</v>
      </c>
      <c r="E213" s="4" t="s">
        <v>814</v>
      </c>
      <c r="F213">
        <f>VLOOKUP(B213,[1]Base!$A$8:$U$66,21,FALSE)</f>
        <v>4</v>
      </c>
      <c r="G213">
        <f t="shared" si="3"/>
        <v>406</v>
      </c>
    </row>
    <row r="214" spans="1:7">
      <c r="A214" s="4">
        <v>237</v>
      </c>
      <c r="B214" s="4">
        <v>25</v>
      </c>
      <c r="C214" s="4">
        <v>7</v>
      </c>
      <c r="D214" s="66" t="s">
        <v>1965</v>
      </c>
      <c r="E214" s="4" t="s">
        <v>815</v>
      </c>
      <c r="F214">
        <f>VLOOKUP(B214,[1]Base!$A$8:$U$66,21,FALSE)</f>
        <v>4</v>
      </c>
      <c r="G214">
        <f t="shared" si="3"/>
        <v>407</v>
      </c>
    </row>
    <row r="215" spans="1:7">
      <c r="A215" s="4">
        <v>238</v>
      </c>
      <c r="B215" s="4">
        <v>25</v>
      </c>
      <c r="C215" s="4">
        <v>8</v>
      </c>
      <c r="D215" s="66" t="s">
        <v>1043</v>
      </c>
      <c r="E215" s="4" t="s">
        <v>816</v>
      </c>
      <c r="F215">
        <f>VLOOKUP(B215,[1]Base!$A$8:$U$66,21,FALSE)</f>
        <v>4</v>
      </c>
      <c r="G215">
        <f t="shared" si="3"/>
        <v>408</v>
      </c>
    </row>
    <row r="216" spans="1:7">
      <c r="A216" s="4">
        <v>239</v>
      </c>
      <c r="B216">
        <v>25</v>
      </c>
      <c r="C216" s="4">
        <v>9</v>
      </c>
      <c r="D216" s="66" t="s">
        <v>1966</v>
      </c>
      <c r="E216" s="4" t="s">
        <v>817</v>
      </c>
      <c r="F216">
        <f>VLOOKUP(B216,[1]Base!$A$8:$U$66,21,FALSE)</f>
        <v>4</v>
      </c>
      <c r="G216">
        <f t="shared" si="3"/>
        <v>409</v>
      </c>
    </row>
    <row r="217" spans="1:7">
      <c r="A217" s="4">
        <v>240</v>
      </c>
      <c r="B217" s="4">
        <v>25</v>
      </c>
      <c r="C217" s="4">
        <v>10</v>
      </c>
      <c r="D217" s="66" t="s">
        <v>1044</v>
      </c>
      <c r="E217" s="4" t="s">
        <v>818</v>
      </c>
      <c r="F217">
        <f>VLOOKUP(B217,[1]Base!$A$8:$U$66,21,FALSE)</f>
        <v>4</v>
      </c>
      <c r="G217">
        <f t="shared" si="3"/>
        <v>410</v>
      </c>
    </row>
    <row r="218" spans="1:7">
      <c r="A218" s="4">
        <v>241</v>
      </c>
      <c r="B218" s="4">
        <v>26</v>
      </c>
      <c r="C218" s="4">
        <v>1</v>
      </c>
      <c r="D218" s="66" t="s">
        <v>1965</v>
      </c>
      <c r="E218" s="4" t="s">
        <v>979</v>
      </c>
      <c r="F218">
        <f>VLOOKUP(B218,[1]Base!$A$8:$U$66,21,FALSE)</f>
        <v>5</v>
      </c>
      <c r="G218">
        <f t="shared" si="3"/>
        <v>501</v>
      </c>
    </row>
    <row r="219" spans="1:7">
      <c r="A219" s="4">
        <v>242</v>
      </c>
      <c r="B219" s="4">
        <v>26</v>
      </c>
      <c r="C219" s="4">
        <v>2</v>
      </c>
      <c r="D219" s="66" t="s">
        <v>2555</v>
      </c>
      <c r="E219" s="4" t="s">
        <v>809</v>
      </c>
      <c r="F219">
        <f>VLOOKUP(B219,[1]Base!$A$8:$U$66,21,FALSE)</f>
        <v>5</v>
      </c>
      <c r="G219">
        <f t="shared" si="3"/>
        <v>502</v>
      </c>
    </row>
    <row r="220" spans="1:7">
      <c r="A220" s="4">
        <v>243</v>
      </c>
      <c r="B220" s="4">
        <v>26</v>
      </c>
      <c r="C220" s="4">
        <v>3</v>
      </c>
      <c r="D220" s="66" t="s">
        <v>1965</v>
      </c>
      <c r="E220" s="4" t="s">
        <v>810</v>
      </c>
      <c r="F220">
        <f>VLOOKUP(B220,[1]Base!$A$8:$U$66,21,FALSE)</f>
        <v>5</v>
      </c>
      <c r="G220">
        <f t="shared" si="3"/>
        <v>503</v>
      </c>
    </row>
    <row r="221" spans="1:7">
      <c r="A221" s="4">
        <v>244</v>
      </c>
      <c r="B221" s="4">
        <v>26</v>
      </c>
      <c r="C221" s="4">
        <v>4</v>
      </c>
      <c r="D221" s="66" t="s">
        <v>2556</v>
      </c>
      <c r="E221" s="4" t="s">
        <v>811</v>
      </c>
      <c r="F221">
        <f>VLOOKUP(B221,[1]Base!$A$8:$U$66,21,FALSE)</f>
        <v>5</v>
      </c>
      <c r="G221">
        <f t="shared" si="3"/>
        <v>504</v>
      </c>
    </row>
    <row r="222" spans="1:7">
      <c r="A222" s="4">
        <v>245</v>
      </c>
      <c r="B222" s="4">
        <v>26</v>
      </c>
      <c r="C222" s="4">
        <v>5</v>
      </c>
      <c r="D222" s="66" t="s">
        <v>1966</v>
      </c>
      <c r="E222" s="4" t="s">
        <v>812</v>
      </c>
      <c r="F222">
        <f>VLOOKUP(B222,[1]Base!$A$8:$U$66,21,FALSE)</f>
        <v>5</v>
      </c>
      <c r="G222">
        <f t="shared" si="3"/>
        <v>505</v>
      </c>
    </row>
    <row r="223" spans="1:7">
      <c r="A223" s="4">
        <v>246</v>
      </c>
      <c r="B223">
        <v>26</v>
      </c>
      <c r="C223" s="4">
        <v>6</v>
      </c>
      <c r="D223" s="66" t="s">
        <v>2556</v>
      </c>
      <c r="E223" s="4" t="s">
        <v>814</v>
      </c>
      <c r="F223">
        <f>VLOOKUP(B223,[1]Base!$A$8:$U$66,21,FALSE)</f>
        <v>5</v>
      </c>
      <c r="G223">
        <f t="shared" si="3"/>
        <v>506</v>
      </c>
    </row>
    <row r="224" spans="1:7">
      <c r="A224" s="4">
        <v>247</v>
      </c>
      <c r="B224" s="4">
        <v>26</v>
      </c>
      <c r="C224" s="4">
        <v>7</v>
      </c>
      <c r="D224" s="66" t="s">
        <v>1966</v>
      </c>
      <c r="E224" s="4" t="s">
        <v>815</v>
      </c>
      <c r="F224">
        <f>VLOOKUP(B224,[1]Base!$A$8:$U$66,21,FALSE)</f>
        <v>5</v>
      </c>
      <c r="G224">
        <f t="shared" si="3"/>
        <v>507</v>
      </c>
    </row>
    <row r="225" spans="1:7">
      <c r="A225" s="4">
        <v>248</v>
      </c>
      <c r="B225" s="4">
        <v>26</v>
      </c>
      <c r="C225" s="4">
        <v>8</v>
      </c>
      <c r="D225" s="66" t="s">
        <v>2557</v>
      </c>
      <c r="E225" s="4" t="s">
        <v>816</v>
      </c>
      <c r="F225">
        <f>VLOOKUP(B225,[1]Base!$A$8:$U$66,21,FALSE)</f>
        <v>5</v>
      </c>
      <c r="G225">
        <f t="shared" si="3"/>
        <v>508</v>
      </c>
    </row>
    <row r="226" spans="1:7">
      <c r="A226" s="4">
        <v>249</v>
      </c>
      <c r="B226" s="4">
        <v>26</v>
      </c>
      <c r="C226" s="4">
        <v>9</v>
      </c>
      <c r="D226" s="66" t="s">
        <v>1968</v>
      </c>
      <c r="E226" s="4" t="s">
        <v>817</v>
      </c>
      <c r="F226">
        <f>VLOOKUP(B226,[1]Base!$A$8:$U$66,21,FALSE)</f>
        <v>5</v>
      </c>
      <c r="G226">
        <f t="shared" si="3"/>
        <v>509</v>
      </c>
    </row>
    <row r="227" spans="1:7">
      <c r="A227" s="4">
        <v>250</v>
      </c>
      <c r="B227" s="4">
        <v>26</v>
      </c>
      <c r="C227" s="4">
        <v>10</v>
      </c>
      <c r="D227" s="66" t="s">
        <v>2558</v>
      </c>
      <c r="E227" s="4" t="s">
        <v>818</v>
      </c>
      <c r="F227">
        <f>VLOOKUP(B227,[1]Base!$A$8:$U$66,21,FALSE)</f>
        <v>5</v>
      </c>
      <c r="G227">
        <f t="shared" si="3"/>
        <v>510</v>
      </c>
    </row>
    <row r="228" spans="1:7">
      <c r="A228" s="4">
        <v>251</v>
      </c>
      <c r="B228" s="4">
        <v>27</v>
      </c>
      <c r="C228" s="4">
        <v>1</v>
      </c>
      <c r="D228" s="66" t="s">
        <v>1964</v>
      </c>
      <c r="E228" s="4" t="s">
        <v>979</v>
      </c>
      <c r="F228">
        <f>VLOOKUP(B228,[1]Base!$A$8:$U$66,21,FALSE)</f>
        <v>4</v>
      </c>
      <c r="G228">
        <f t="shared" si="3"/>
        <v>401</v>
      </c>
    </row>
    <row r="229" spans="1:7">
      <c r="A229" s="4">
        <v>252</v>
      </c>
      <c r="B229" s="4">
        <v>27</v>
      </c>
      <c r="C229" s="4">
        <v>2</v>
      </c>
      <c r="D229" s="66" t="s">
        <v>1041</v>
      </c>
      <c r="E229" s="4" t="s">
        <v>809</v>
      </c>
      <c r="F229">
        <f>VLOOKUP(B229,[1]Base!$A$8:$U$66,21,FALSE)</f>
        <v>4</v>
      </c>
      <c r="G229">
        <f t="shared" si="3"/>
        <v>402</v>
      </c>
    </row>
    <row r="230" spans="1:7">
      <c r="A230" s="4">
        <v>253</v>
      </c>
      <c r="B230" s="4">
        <v>27</v>
      </c>
      <c r="C230" s="4">
        <v>3</v>
      </c>
      <c r="D230" s="66" t="s">
        <v>1964</v>
      </c>
      <c r="E230" s="4" t="s">
        <v>810</v>
      </c>
      <c r="F230">
        <f>VLOOKUP(B230,[1]Base!$A$8:$U$66,21,FALSE)</f>
        <v>4</v>
      </c>
      <c r="G230">
        <f t="shared" si="3"/>
        <v>403</v>
      </c>
    </row>
    <row r="231" spans="1:7">
      <c r="A231" s="4">
        <v>254</v>
      </c>
      <c r="B231">
        <v>27</v>
      </c>
      <c r="C231" s="4">
        <v>4</v>
      </c>
      <c r="D231" s="66" t="s">
        <v>1041</v>
      </c>
      <c r="E231" s="4" t="s">
        <v>811</v>
      </c>
      <c r="F231">
        <f>VLOOKUP(B231,[1]Base!$A$8:$U$66,21,FALSE)</f>
        <v>4</v>
      </c>
      <c r="G231">
        <f t="shared" si="3"/>
        <v>404</v>
      </c>
    </row>
    <row r="232" spans="1:7">
      <c r="A232" s="4">
        <v>255</v>
      </c>
      <c r="B232">
        <v>27</v>
      </c>
      <c r="C232" s="4">
        <v>5</v>
      </c>
      <c r="D232" s="66" t="s">
        <v>1965</v>
      </c>
      <c r="E232" s="4" t="s">
        <v>812</v>
      </c>
      <c r="F232">
        <f>VLOOKUP(B232,[1]Base!$A$8:$U$66,21,FALSE)</f>
        <v>4</v>
      </c>
      <c r="G232">
        <f t="shared" si="3"/>
        <v>405</v>
      </c>
    </row>
    <row r="233" spans="1:7">
      <c r="A233" s="4">
        <v>256</v>
      </c>
      <c r="B233">
        <v>27</v>
      </c>
      <c r="C233" s="4">
        <v>6</v>
      </c>
      <c r="D233" s="66" t="s">
        <v>1042</v>
      </c>
      <c r="E233" s="4" t="s">
        <v>814</v>
      </c>
      <c r="F233">
        <f>VLOOKUP(B233,[1]Base!$A$8:$U$66,21,FALSE)</f>
        <v>4</v>
      </c>
      <c r="G233">
        <f t="shared" si="3"/>
        <v>406</v>
      </c>
    </row>
    <row r="234" spans="1:7">
      <c r="A234" s="4">
        <v>257</v>
      </c>
      <c r="B234">
        <v>27</v>
      </c>
      <c r="C234" s="4">
        <v>7</v>
      </c>
      <c r="D234" s="66" t="s">
        <v>1965</v>
      </c>
      <c r="E234" s="4" t="s">
        <v>815</v>
      </c>
      <c r="F234">
        <f>VLOOKUP(B234,[1]Base!$A$8:$U$66,21,FALSE)</f>
        <v>4</v>
      </c>
      <c r="G234">
        <f t="shared" si="3"/>
        <v>407</v>
      </c>
    </row>
    <row r="235" spans="1:7">
      <c r="A235" s="4">
        <v>258</v>
      </c>
      <c r="B235">
        <v>27</v>
      </c>
      <c r="C235" s="4">
        <v>8</v>
      </c>
      <c r="D235" s="66" t="s">
        <v>1043</v>
      </c>
      <c r="E235" s="4" t="s">
        <v>816</v>
      </c>
      <c r="F235">
        <f>VLOOKUP(B235,[1]Base!$A$8:$U$66,21,FALSE)</f>
        <v>4</v>
      </c>
      <c r="G235">
        <f t="shared" si="3"/>
        <v>408</v>
      </c>
    </row>
    <row r="236" spans="1:7">
      <c r="A236" s="4">
        <v>259</v>
      </c>
      <c r="B236">
        <v>27</v>
      </c>
      <c r="C236" s="4">
        <v>9</v>
      </c>
      <c r="D236" s="66" t="s">
        <v>1966</v>
      </c>
      <c r="E236" s="4" t="s">
        <v>817</v>
      </c>
      <c r="F236">
        <f>VLOOKUP(B236,[1]Base!$A$8:$U$66,21,FALSE)</f>
        <v>4</v>
      </c>
      <c r="G236">
        <f t="shared" si="3"/>
        <v>409</v>
      </c>
    </row>
    <row r="237" spans="1:7">
      <c r="A237" s="4">
        <v>260</v>
      </c>
      <c r="B237" s="4">
        <v>27</v>
      </c>
      <c r="C237" s="4">
        <v>10</v>
      </c>
      <c r="D237" s="66" t="s">
        <v>1044</v>
      </c>
      <c r="E237" s="4" t="s">
        <v>818</v>
      </c>
      <c r="F237">
        <f>VLOOKUP(B237,[1]Base!$A$8:$U$66,21,FALSE)</f>
        <v>4</v>
      </c>
      <c r="G237">
        <f t="shared" si="3"/>
        <v>410</v>
      </c>
    </row>
    <row r="238" spans="1:7">
      <c r="A238" s="4">
        <v>261</v>
      </c>
      <c r="B238" s="4">
        <v>28</v>
      </c>
      <c r="C238" s="4">
        <v>1</v>
      </c>
      <c r="D238" s="66" t="s">
        <v>1965</v>
      </c>
      <c r="E238" s="4" t="s">
        <v>979</v>
      </c>
      <c r="F238">
        <f>VLOOKUP(B238,[1]Base!$A$8:$U$66,21,FALSE)</f>
        <v>5</v>
      </c>
      <c r="G238">
        <f t="shared" si="3"/>
        <v>501</v>
      </c>
    </row>
    <row r="239" spans="1:7">
      <c r="A239" s="4">
        <v>262</v>
      </c>
      <c r="B239" s="4">
        <v>28</v>
      </c>
      <c r="C239" s="4">
        <v>2</v>
      </c>
      <c r="D239" s="66" t="s">
        <v>2555</v>
      </c>
      <c r="E239" s="4" t="s">
        <v>809</v>
      </c>
      <c r="F239">
        <f>VLOOKUP(B239,[1]Base!$A$8:$U$66,21,FALSE)</f>
        <v>5</v>
      </c>
      <c r="G239">
        <f t="shared" si="3"/>
        <v>502</v>
      </c>
    </row>
    <row r="240" spans="1:7">
      <c r="A240" s="4">
        <v>263</v>
      </c>
      <c r="B240" s="4">
        <v>28</v>
      </c>
      <c r="C240" s="4">
        <v>3</v>
      </c>
      <c r="D240" s="66" t="s">
        <v>1965</v>
      </c>
      <c r="E240" s="4" t="s">
        <v>810</v>
      </c>
      <c r="F240">
        <f>VLOOKUP(B240,[1]Base!$A$8:$U$66,21,FALSE)</f>
        <v>5</v>
      </c>
      <c r="G240">
        <f t="shared" si="3"/>
        <v>503</v>
      </c>
    </row>
    <row r="241" spans="1:7">
      <c r="A241" s="4">
        <v>264</v>
      </c>
      <c r="B241" s="4">
        <v>28</v>
      </c>
      <c r="C241" s="4">
        <v>4</v>
      </c>
      <c r="D241" s="66" t="s">
        <v>2556</v>
      </c>
      <c r="E241" s="4" t="s">
        <v>811</v>
      </c>
      <c r="F241">
        <f>VLOOKUP(B241,[1]Base!$A$8:$U$66,21,FALSE)</f>
        <v>5</v>
      </c>
      <c r="G241">
        <f t="shared" si="3"/>
        <v>504</v>
      </c>
    </row>
    <row r="242" spans="1:7">
      <c r="A242" s="4">
        <v>265</v>
      </c>
      <c r="B242" s="4">
        <v>28</v>
      </c>
      <c r="C242" s="4">
        <v>5</v>
      </c>
      <c r="D242" s="66" t="s">
        <v>1966</v>
      </c>
      <c r="E242" s="4" t="s">
        <v>812</v>
      </c>
      <c r="F242">
        <f>VLOOKUP(B242,[1]Base!$A$8:$U$66,21,FALSE)</f>
        <v>5</v>
      </c>
      <c r="G242">
        <f t="shared" si="3"/>
        <v>505</v>
      </c>
    </row>
    <row r="243" spans="1:7">
      <c r="A243" s="4">
        <v>266</v>
      </c>
      <c r="B243">
        <v>28</v>
      </c>
      <c r="C243" s="4">
        <v>6</v>
      </c>
      <c r="D243" s="66" t="s">
        <v>2556</v>
      </c>
      <c r="E243" s="4" t="s">
        <v>814</v>
      </c>
      <c r="F243">
        <f>VLOOKUP(B243,[1]Base!$A$8:$U$66,21,FALSE)</f>
        <v>5</v>
      </c>
      <c r="G243">
        <f t="shared" si="3"/>
        <v>506</v>
      </c>
    </row>
    <row r="244" spans="1:7">
      <c r="A244" s="4">
        <v>267</v>
      </c>
      <c r="B244" s="4">
        <v>28</v>
      </c>
      <c r="C244" s="4">
        <v>7</v>
      </c>
      <c r="D244" s="66" t="s">
        <v>1966</v>
      </c>
      <c r="E244" s="4" t="s">
        <v>815</v>
      </c>
      <c r="F244">
        <f>VLOOKUP(B244,[1]Base!$A$8:$U$66,21,FALSE)</f>
        <v>5</v>
      </c>
      <c r="G244">
        <f t="shared" si="3"/>
        <v>507</v>
      </c>
    </row>
    <row r="245" spans="1:7">
      <c r="A245" s="4">
        <v>268</v>
      </c>
      <c r="B245" s="4">
        <v>28</v>
      </c>
      <c r="C245" s="4">
        <v>8</v>
      </c>
      <c r="D245" s="66" t="s">
        <v>2557</v>
      </c>
      <c r="E245" s="4" t="s">
        <v>816</v>
      </c>
      <c r="F245">
        <f>VLOOKUP(B245,[1]Base!$A$8:$U$66,21,FALSE)</f>
        <v>5</v>
      </c>
      <c r="G245">
        <f t="shared" si="3"/>
        <v>508</v>
      </c>
    </row>
    <row r="246" spans="1:7">
      <c r="A246" s="4">
        <v>269</v>
      </c>
      <c r="B246" s="4">
        <v>28</v>
      </c>
      <c r="C246" s="4">
        <v>9</v>
      </c>
      <c r="D246" s="66" t="s">
        <v>1968</v>
      </c>
      <c r="E246" s="4" t="s">
        <v>817</v>
      </c>
      <c r="F246">
        <f>VLOOKUP(B246,[1]Base!$A$8:$U$66,21,FALSE)</f>
        <v>5</v>
      </c>
      <c r="G246">
        <f t="shared" si="3"/>
        <v>509</v>
      </c>
    </row>
    <row r="247" spans="1:7">
      <c r="A247" s="4">
        <v>270</v>
      </c>
      <c r="B247" s="4">
        <v>28</v>
      </c>
      <c r="C247" s="4">
        <v>10</v>
      </c>
      <c r="D247" s="66" t="s">
        <v>2558</v>
      </c>
      <c r="E247" s="4" t="s">
        <v>818</v>
      </c>
      <c r="F247">
        <f>VLOOKUP(B247,[1]Base!$A$8:$U$66,21,FALSE)</f>
        <v>5</v>
      </c>
      <c r="G247">
        <f t="shared" si="3"/>
        <v>510</v>
      </c>
    </row>
    <row r="248" spans="1:7">
      <c r="A248" s="4">
        <v>271</v>
      </c>
      <c r="B248" s="4">
        <v>30</v>
      </c>
      <c r="C248" s="4">
        <v>1</v>
      </c>
      <c r="D248" s="66" t="s">
        <v>1965</v>
      </c>
      <c r="E248" s="4" t="s">
        <v>979</v>
      </c>
      <c r="F248">
        <f>VLOOKUP(B248,[1]Base!$A$8:$U$66,21,FALSE)</f>
        <v>5</v>
      </c>
      <c r="G248">
        <f t="shared" si="3"/>
        <v>501</v>
      </c>
    </row>
    <row r="249" spans="1:7">
      <c r="A249" s="4">
        <v>272</v>
      </c>
      <c r="B249" s="4">
        <v>30</v>
      </c>
      <c r="C249" s="4">
        <v>2</v>
      </c>
      <c r="D249" s="66" t="s">
        <v>2555</v>
      </c>
      <c r="E249" s="4" t="s">
        <v>809</v>
      </c>
      <c r="F249">
        <f>VLOOKUP(B249,[1]Base!$A$8:$U$66,21,FALSE)</f>
        <v>5</v>
      </c>
      <c r="G249">
        <f t="shared" si="3"/>
        <v>502</v>
      </c>
    </row>
    <row r="250" spans="1:7">
      <c r="A250" s="4">
        <v>273</v>
      </c>
      <c r="B250" s="4">
        <v>30</v>
      </c>
      <c r="C250" s="4">
        <v>3</v>
      </c>
      <c r="D250" s="66" t="s">
        <v>1965</v>
      </c>
      <c r="E250" s="4" t="s">
        <v>810</v>
      </c>
      <c r="F250">
        <f>VLOOKUP(B250,[1]Base!$A$8:$U$66,21,FALSE)</f>
        <v>5</v>
      </c>
      <c r="G250">
        <f t="shared" si="3"/>
        <v>503</v>
      </c>
    </row>
    <row r="251" spans="1:7">
      <c r="A251" s="4">
        <v>274</v>
      </c>
      <c r="B251" s="4">
        <v>30</v>
      </c>
      <c r="C251" s="4">
        <v>4</v>
      </c>
      <c r="D251" s="66" t="s">
        <v>2556</v>
      </c>
      <c r="E251" s="4" t="s">
        <v>811</v>
      </c>
      <c r="F251">
        <f>VLOOKUP(B251,[1]Base!$A$8:$U$66,21,FALSE)</f>
        <v>5</v>
      </c>
      <c r="G251">
        <f t="shared" si="3"/>
        <v>504</v>
      </c>
    </row>
    <row r="252" spans="1:7">
      <c r="A252" s="4">
        <v>275</v>
      </c>
      <c r="B252" s="4">
        <v>30</v>
      </c>
      <c r="C252" s="4">
        <v>5</v>
      </c>
      <c r="D252" s="66" t="s">
        <v>1966</v>
      </c>
      <c r="E252" s="4" t="s">
        <v>812</v>
      </c>
      <c r="F252">
        <f>VLOOKUP(B252,[1]Base!$A$8:$U$66,21,FALSE)</f>
        <v>5</v>
      </c>
      <c r="G252">
        <f t="shared" si="3"/>
        <v>505</v>
      </c>
    </row>
    <row r="253" spans="1:7">
      <c r="A253" s="4">
        <v>276</v>
      </c>
      <c r="B253" s="4">
        <v>30</v>
      </c>
      <c r="C253" s="4">
        <v>6</v>
      </c>
      <c r="D253" s="66" t="s">
        <v>2556</v>
      </c>
      <c r="E253" s="4" t="s">
        <v>814</v>
      </c>
      <c r="F253">
        <f>VLOOKUP(B253,[1]Base!$A$8:$U$66,21,FALSE)</f>
        <v>5</v>
      </c>
      <c r="G253">
        <f t="shared" si="3"/>
        <v>506</v>
      </c>
    </row>
    <row r="254" spans="1:7">
      <c r="A254" s="4">
        <v>277</v>
      </c>
      <c r="B254" s="4">
        <v>30</v>
      </c>
      <c r="C254" s="4">
        <v>7</v>
      </c>
      <c r="D254" s="66" t="s">
        <v>1966</v>
      </c>
      <c r="E254" s="4" t="s">
        <v>815</v>
      </c>
      <c r="F254">
        <f>VLOOKUP(B254,[1]Base!$A$8:$U$66,21,FALSE)</f>
        <v>5</v>
      </c>
      <c r="G254">
        <f t="shared" si="3"/>
        <v>507</v>
      </c>
    </row>
    <row r="255" spans="1:7">
      <c r="A255" s="4">
        <v>278</v>
      </c>
      <c r="B255" s="4">
        <v>30</v>
      </c>
      <c r="C255" s="4">
        <v>8</v>
      </c>
      <c r="D255" s="66" t="s">
        <v>2557</v>
      </c>
      <c r="E255" s="4" t="s">
        <v>816</v>
      </c>
      <c r="F255">
        <f>VLOOKUP(B255,[1]Base!$A$8:$U$66,21,FALSE)</f>
        <v>5</v>
      </c>
      <c r="G255">
        <f t="shared" si="3"/>
        <v>508</v>
      </c>
    </row>
    <row r="256" spans="1:7">
      <c r="A256" s="4">
        <v>279</v>
      </c>
      <c r="B256" s="4">
        <v>30</v>
      </c>
      <c r="C256" s="4">
        <v>9</v>
      </c>
      <c r="D256" s="66" t="s">
        <v>1968</v>
      </c>
      <c r="E256" s="4" t="s">
        <v>817</v>
      </c>
      <c r="F256">
        <f>VLOOKUP(B256,[1]Base!$A$8:$U$66,21,FALSE)</f>
        <v>5</v>
      </c>
      <c r="G256">
        <f t="shared" si="3"/>
        <v>509</v>
      </c>
    </row>
    <row r="257" spans="1:7">
      <c r="A257" s="4">
        <v>280</v>
      </c>
      <c r="B257" s="4">
        <v>30</v>
      </c>
      <c r="C257" s="4">
        <v>10</v>
      </c>
      <c r="D257" s="66" t="s">
        <v>2558</v>
      </c>
      <c r="E257" s="4" t="s">
        <v>818</v>
      </c>
      <c r="F257">
        <f>VLOOKUP(B257,[1]Base!$A$8:$U$66,21,FALSE)</f>
        <v>5</v>
      </c>
      <c r="G257">
        <f t="shared" si="3"/>
        <v>510</v>
      </c>
    </row>
    <row r="258" spans="1:7">
      <c r="A258" s="4">
        <v>281</v>
      </c>
      <c r="B258" s="4">
        <v>31</v>
      </c>
      <c r="C258" s="4">
        <v>1</v>
      </c>
      <c r="D258" s="66" t="s">
        <v>1964</v>
      </c>
      <c r="E258" s="4" t="s">
        <v>979</v>
      </c>
      <c r="F258">
        <f>VLOOKUP(B258,[1]Base!$A$8:$U$66,21,FALSE)</f>
        <v>4</v>
      </c>
      <c r="G258">
        <f t="shared" si="3"/>
        <v>401</v>
      </c>
    </row>
    <row r="259" spans="1:7">
      <c r="A259" s="4">
        <v>282</v>
      </c>
      <c r="B259">
        <v>31</v>
      </c>
      <c r="C259" s="4">
        <v>2</v>
      </c>
      <c r="D259" s="66" t="s">
        <v>1041</v>
      </c>
      <c r="E259" s="4" t="s">
        <v>809</v>
      </c>
      <c r="F259">
        <f>VLOOKUP(B259,[1]Base!$A$8:$U$66,21,FALSE)</f>
        <v>4</v>
      </c>
      <c r="G259">
        <f t="shared" si="3"/>
        <v>402</v>
      </c>
    </row>
    <row r="260" spans="1:7">
      <c r="A260" s="4">
        <v>283</v>
      </c>
      <c r="B260">
        <v>31</v>
      </c>
      <c r="C260" s="4">
        <v>3</v>
      </c>
      <c r="D260" s="66" t="s">
        <v>1964</v>
      </c>
      <c r="E260" s="4" t="s">
        <v>810</v>
      </c>
      <c r="F260">
        <f>VLOOKUP(B260,[1]Base!$A$8:$U$66,21,FALSE)</f>
        <v>4</v>
      </c>
      <c r="G260">
        <f t="shared" si="3"/>
        <v>403</v>
      </c>
    </row>
    <row r="261" spans="1:7">
      <c r="A261" s="4">
        <v>284</v>
      </c>
      <c r="B261">
        <v>31</v>
      </c>
      <c r="C261" s="4">
        <v>4</v>
      </c>
      <c r="D261" s="66" t="s">
        <v>1041</v>
      </c>
      <c r="E261" s="4" t="s">
        <v>811</v>
      </c>
      <c r="F261">
        <f>VLOOKUP(B261,[1]Base!$A$8:$U$66,21,FALSE)</f>
        <v>4</v>
      </c>
      <c r="G261">
        <f t="shared" si="3"/>
        <v>404</v>
      </c>
    </row>
    <row r="262" spans="1:7">
      <c r="A262" s="4">
        <v>285</v>
      </c>
      <c r="B262">
        <v>31</v>
      </c>
      <c r="C262" s="4">
        <v>5</v>
      </c>
      <c r="D262" s="66" t="s">
        <v>1965</v>
      </c>
      <c r="E262" s="4" t="s">
        <v>812</v>
      </c>
      <c r="F262">
        <f>VLOOKUP(B262,[1]Base!$A$8:$U$66,21,FALSE)</f>
        <v>4</v>
      </c>
      <c r="G262">
        <f t="shared" si="3"/>
        <v>405</v>
      </c>
    </row>
    <row r="263" spans="1:7">
      <c r="A263" s="4">
        <v>286</v>
      </c>
      <c r="B263" s="4">
        <v>31</v>
      </c>
      <c r="C263" s="4">
        <v>6</v>
      </c>
      <c r="D263" s="66" t="s">
        <v>1042</v>
      </c>
      <c r="E263" s="4" t="s">
        <v>814</v>
      </c>
      <c r="F263">
        <f>VLOOKUP(B263,[1]Base!$A$8:$U$66,21,FALSE)</f>
        <v>4</v>
      </c>
      <c r="G263">
        <f t="shared" si="3"/>
        <v>406</v>
      </c>
    </row>
    <row r="264" spans="1:7">
      <c r="A264" s="4">
        <v>287</v>
      </c>
      <c r="B264" s="4">
        <v>31</v>
      </c>
      <c r="C264" s="4">
        <v>7</v>
      </c>
      <c r="D264" s="66" t="s">
        <v>1965</v>
      </c>
      <c r="E264" s="4" t="s">
        <v>815</v>
      </c>
      <c r="F264">
        <f>VLOOKUP(B264,[1]Base!$A$8:$U$66,21,FALSE)</f>
        <v>4</v>
      </c>
      <c r="G264">
        <f t="shared" si="3"/>
        <v>407</v>
      </c>
    </row>
    <row r="265" spans="1:7">
      <c r="A265" s="4">
        <v>288</v>
      </c>
      <c r="B265" s="4">
        <v>31</v>
      </c>
      <c r="C265" s="4">
        <v>8</v>
      </c>
      <c r="D265" s="66" t="s">
        <v>1043</v>
      </c>
      <c r="E265" s="4" t="s">
        <v>816</v>
      </c>
      <c r="F265">
        <f>VLOOKUP(B265,[1]Base!$A$8:$U$66,21,FALSE)</f>
        <v>4</v>
      </c>
      <c r="G265">
        <f t="shared" ref="G265:G328" si="4">F265*100+C265</f>
        <v>408</v>
      </c>
    </row>
    <row r="266" spans="1:7">
      <c r="A266" s="4">
        <v>289</v>
      </c>
      <c r="B266" s="4">
        <v>31</v>
      </c>
      <c r="C266" s="4">
        <v>9</v>
      </c>
      <c r="D266" s="66" t="s">
        <v>1966</v>
      </c>
      <c r="E266" s="4" t="s">
        <v>817</v>
      </c>
      <c r="F266">
        <f>VLOOKUP(B266,[1]Base!$A$8:$U$66,21,FALSE)</f>
        <v>4</v>
      </c>
      <c r="G266">
        <f t="shared" si="4"/>
        <v>409</v>
      </c>
    </row>
    <row r="267" spans="1:7">
      <c r="A267" s="4">
        <v>290</v>
      </c>
      <c r="B267" s="4">
        <v>31</v>
      </c>
      <c r="C267" s="4">
        <v>10</v>
      </c>
      <c r="D267" s="66" t="s">
        <v>1044</v>
      </c>
      <c r="E267" s="4" t="s">
        <v>818</v>
      </c>
      <c r="F267">
        <f>VLOOKUP(B267,[1]Base!$A$8:$U$66,21,FALSE)</f>
        <v>4</v>
      </c>
      <c r="G267">
        <f t="shared" si="4"/>
        <v>410</v>
      </c>
    </row>
    <row r="268" spans="1:7">
      <c r="A268" s="4">
        <v>291</v>
      </c>
      <c r="B268" s="4">
        <v>32</v>
      </c>
      <c r="C268" s="4">
        <v>1</v>
      </c>
      <c r="D268" s="66" t="s">
        <v>1964</v>
      </c>
      <c r="E268" s="4" t="s">
        <v>979</v>
      </c>
      <c r="F268">
        <f>VLOOKUP(B268,[1]Base!$A$8:$U$66,21,FALSE)</f>
        <v>4</v>
      </c>
      <c r="G268">
        <f t="shared" si="4"/>
        <v>401</v>
      </c>
    </row>
    <row r="269" spans="1:7">
      <c r="A269" s="4">
        <v>292</v>
      </c>
      <c r="B269">
        <v>32</v>
      </c>
      <c r="C269" s="4">
        <v>2</v>
      </c>
      <c r="D269" s="66" t="s">
        <v>1041</v>
      </c>
      <c r="E269" s="4" t="s">
        <v>809</v>
      </c>
      <c r="F269">
        <f>VLOOKUP(B269,[1]Base!$A$8:$U$66,21,FALSE)</f>
        <v>4</v>
      </c>
      <c r="G269">
        <f t="shared" si="4"/>
        <v>402</v>
      </c>
    </row>
    <row r="270" spans="1:7">
      <c r="A270" s="4">
        <v>293</v>
      </c>
      <c r="B270" s="4">
        <v>32</v>
      </c>
      <c r="C270" s="4">
        <v>3</v>
      </c>
      <c r="D270" s="66" t="s">
        <v>1964</v>
      </c>
      <c r="E270" s="4" t="s">
        <v>810</v>
      </c>
      <c r="F270">
        <f>VLOOKUP(B270,[1]Base!$A$8:$U$66,21,FALSE)</f>
        <v>4</v>
      </c>
      <c r="G270">
        <f t="shared" si="4"/>
        <v>403</v>
      </c>
    </row>
    <row r="271" spans="1:7">
      <c r="A271" s="4">
        <v>294</v>
      </c>
      <c r="B271" s="4">
        <v>32</v>
      </c>
      <c r="C271" s="4">
        <v>4</v>
      </c>
      <c r="D271" s="66" t="s">
        <v>1041</v>
      </c>
      <c r="E271" s="4" t="s">
        <v>811</v>
      </c>
      <c r="F271">
        <f>VLOOKUP(B271,[1]Base!$A$8:$U$66,21,FALSE)</f>
        <v>4</v>
      </c>
      <c r="G271">
        <f t="shared" si="4"/>
        <v>404</v>
      </c>
    </row>
    <row r="272" spans="1:7">
      <c r="A272" s="4">
        <v>295</v>
      </c>
      <c r="B272" s="4">
        <v>32</v>
      </c>
      <c r="C272" s="4">
        <v>5</v>
      </c>
      <c r="D272" s="66" t="s">
        <v>1965</v>
      </c>
      <c r="E272" s="4" t="s">
        <v>812</v>
      </c>
      <c r="F272">
        <f>VLOOKUP(B272,[1]Base!$A$8:$U$66,21,FALSE)</f>
        <v>4</v>
      </c>
      <c r="G272">
        <f t="shared" si="4"/>
        <v>405</v>
      </c>
    </row>
    <row r="273" spans="1:7">
      <c r="A273" s="4">
        <v>296</v>
      </c>
      <c r="B273" s="4">
        <v>32</v>
      </c>
      <c r="C273" s="4">
        <v>6</v>
      </c>
      <c r="D273" s="66" t="s">
        <v>1042</v>
      </c>
      <c r="E273" s="4" t="s">
        <v>814</v>
      </c>
      <c r="F273">
        <f>VLOOKUP(B273,[1]Base!$A$8:$U$66,21,FALSE)</f>
        <v>4</v>
      </c>
      <c r="G273">
        <f t="shared" si="4"/>
        <v>406</v>
      </c>
    </row>
    <row r="274" spans="1:7">
      <c r="A274" s="4">
        <v>297</v>
      </c>
      <c r="B274" s="4">
        <v>32</v>
      </c>
      <c r="C274" s="4">
        <v>7</v>
      </c>
      <c r="D274" s="66" t="s">
        <v>1965</v>
      </c>
      <c r="E274" s="4" t="s">
        <v>815</v>
      </c>
      <c r="F274">
        <f>VLOOKUP(B274,[1]Base!$A$8:$U$66,21,FALSE)</f>
        <v>4</v>
      </c>
      <c r="G274">
        <f t="shared" si="4"/>
        <v>407</v>
      </c>
    </row>
    <row r="275" spans="1:7">
      <c r="A275" s="4">
        <v>298</v>
      </c>
      <c r="B275" s="4">
        <v>32</v>
      </c>
      <c r="C275" s="4">
        <v>8</v>
      </c>
      <c r="D275" s="66" t="s">
        <v>1043</v>
      </c>
      <c r="E275" s="4" t="s">
        <v>816</v>
      </c>
      <c r="F275">
        <f>VLOOKUP(B275,[1]Base!$A$8:$U$66,21,FALSE)</f>
        <v>4</v>
      </c>
      <c r="G275">
        <f t="shared" si="4"/>
        <v>408</v>
      </c>
    </row>
    <row r="276" spans="1:7">
      <c r="A276" s="4">
        <v>299</v>
      </c>
      <c r="B276">
        <v>32</v>
      </c>
      <c r="C276" s="4">
        <v>9</v>
      </c>
      <c r="D276" s="66" t="s">
        <v>1966</v>
      </c>
      <c r="E276" s="4" t="s">
        <v>817</v>
      </c>
      <c r="F276">
        <f>VLOOKUP(B276,[1]Base!$A$8:$U$66,21,FALSE)</f>
        <v>4</v>
      </c>
      <c r="G276">
        <f t="shared" si="4"/>
        <v>409</v>
      </c>
    </row>
    <row r="277" spans="1:7">
      <c r="A277" s="4">
        <v>300</v>
      </c>
      <c r="B277" s="4">
        <v>32</v>
      </c>
      <c r="C277" s="4">
        <v>10</v>
      </c>
      <c r="D277" s="66" t="s">
        <v>1044</v>
      </c>
      <c r="E277" s="4" t="s">
        <v>818</v>
      </c>
      <c r="F277">
        <f>VLOOKUP(B277,[1]Base!$A$8:$U$66,21,FALSE)</f>
        <v>4</v>
      </c>
      <c r="G277">
        <f t="shared" si="4"/>
        <v>410</v>
      </c>
    </row>
    <row r="278" spans="1:7">
      <c r="A278" s="4">
        <v>301</v>
      </c>
      <c r="B278" s="4">
        <v>33</v>
      </c>
      <c r="C278" s="4">
        <v>1</v>
      </c>
      <c r="D278" s="66" t="s">
        <v>1967</v>
      </c>
      <c r="E278" s="4" t="s">
        <v>979</v>
      </c>
      <c r="F278">
        <f>VLOOKUP(B278,[1]Base!$A$8:$U$66,21,FALSE)</f>
        <v>3</v>
      </c>
      <c r="G278">
        <f t="shared" si="4"/>
        <v>301</v>
      </c>
    </row>
    <row r="279" spans="1:7">
      <c r="A279" s="4">
        <v>302</v>
      </c>
      <c r="B279" s="4">
        <v>33</v>
      </c>
      <c r="C279" s="4">
        <v>2</v>
      </c>
      <c r="D279" s="66" t="s">
        <v>1045</v>
      </c>
      <c r="E279" s="4" t="s">
        <v>809</v>
      </c>
      <c r="F279">
        <f>VLOOKUP(B279,[1]Base!$A$8:$U$66,21,FALSE)</f>
        <v>3</v>
      </c>
      <c r="G279">
        <f t="shared" si="4"/>
        <v>302</v>
      </c>
    </row>
    <row r="280" spans="1:7">
      <c r="A280" s="4">
        <v>303</v>
      </c>
      <c r="B280" s="4">
        <v>33</v>
      </c>
      <c r="C280" s="4">
        <v>3</v>
      </c>
      <c r="D280" s="66" t="s">
        <v>1967</v>
      </c>
      <c r="E280" s="4" t="s">
        <v>810</v>
      </c>
      <c r="F280">
        <f>VLOOKUP(B280,[1]Base!$A$8:$U$66,21,FALSE)</f>
        <v>3</v>
      </c>
      <c r="G280">
        <f t="shared" si="4"/>
        <v>303</v>
      </c>
    </row>
    <row r="281" spans="1:7">
      <c r="A281" s="4">
        <v>304</v>
      </c>
      <c r="B281" s="4">
        <v>33</v>
      </c>
      <c r="C281" s="4">
        <v>4</v>
      </c>
      <c r="D281" s="66" t="s">
        <v>1045</v>
      </c>
      <c r="E281" s="4" t="s">
        <v>811</v>
      </c>
      <c r="F281">
        <f>VLOOKUP(B281,[1]Base!$A$8:$U$66,21,FALSE)</f>
        <v>3</v>
      </c>
      <c r="G281">
        <f t="shared" si="4"/>
        <v>304</v>
      </c>
    </row>
    <row r="282" spans="1:7">
      <c r="A282" s="4">
        <v>305</v>
      </c>
      <c r="B282" s="4">
        <v>33</v>
      </c>
      <c r="C282" s="4">
        <v>5</v>
      </c>
      <c r="D282" s="66" t="s">
        <v>1964</v>
      </c>
      <c r="E282" s="4" t="s">
        <v>812</v>
      </c>
      <c r="F282">
        <f>VLOOKUP(B282,[1]Base!$A$8:$U$66,21,FALSE)</f>
        <v>3</v>
      </c>
      <c r="G282">
        <f t="shared" si="4"/>
        <v>305</v>
      </c>
    </row>
    <row r="283" spans="1:7">
      <c r="A283" s="4">
        <v>306</v>
      </c>
      <c r="B283">
        <v>33</v>
      </c>
      <c r="C283" s="4">
        <v>6</v>
      </c>
      <c r="D283" s="66" t="s">
        <v>1046</v>
      </c>
      <c r="E283" s="4" t="s">
        <v>814</v>
      </c>
      <c r="F283">
        <f>VLOOKUP(B283,[1]Base!$A$8:$U$66,21,FALSE)</f>
        <v>3</v>
      </c>
      <c r="G283">
        <f t="shared" si="4"/>
        <v>306</v>
      </c>
    </row>
    <row r="284" spans="1:7">
      <c r="A284" s="4">
        <v>307</v>
      </c>
      <c r="B284" s="4">
        <v>33</v>
      </c>
      <c r="C284" s="4">
        <v>7</v>
      </c>
      <c r="D284" s="66" t="s">
        <v>1964</v>
      </c>
      <c r="E284" s="4" t="s">
        <v>815</v>
      </c>
      <c r="F284">
        <f>VLOOKUP(B284,[1]Base!$A$8:$U$66,21,FALSE)</f>
        <v>3</v>
      </c>
      <c r="G284">
        <f t="shared" si="4"/>
        <v>307</v>
      </c>
    </row>
    <row r="285" spans="1:7">
      <c r="A285" s="4">
        <v>308</v>
      </c>
      <c r="B285" s="4">
        <v>33</v>
      </c>
      <c r="C285" s="4">
        <v>8</v>
      </c>
      <c r="D285" s="66" t="s">
        <v>1042</v>
      </c>
      <c r="E285" s="4" t="s">
        <v>816</v>
      </c>
      <c r="F285">
        <f>VLOOKUP(B285,[1]Base!$A$8:$U$66,21,FALSE)</f>
        <v>3</v>
      </c>
      <c r="G285">
        <f t="shared" si="4"/>
        <v>308</v>
      </c>
    </row>
    <row r="286" spans="1:7">
      <c r="A286" s="4">
        <v>309</v>
      </c>
      <c r="B286" s="4">
        <v>33</v>
      </c>
      <c r="C286" s="4">
        <v>9</v>
      </c>
      <c r="D286" s="66" t="s">
        <v>1965</v>
      </c>
      <c r="E286" s="4" t="s">
        <v>817</v>
      </c>
      <c r="F286">
        <f>VLOOKUP(B286,[1]Base!$A$8:$U$66,21,FALSE)</f>
        <v>3</v>
      </c>
      <c r="G286">
        <f t="shared" si="4"/>
        <v>309</v>
      </c>
    </row>
    <row r="287" spans="1:7">
      <c r="A287" s="4">
        <v>310</v>
      </c>
      <c r="B287" s="4">
        <v>33</v>
      </c>
      <c r="C287" s="4">
        <v>10</v>
      </c>
      <c r="D287" s="66" t="s">
        <v>1047</v>
      </c>
      <c r="E287" s="4" t="s">
        <v>818</v>
      </c>
      <c r="F287">
        <f>VLOOKUP(B287,[1]Base!$A$8:$U$66,21,FALSE)</f>
        <v>3</v>
      </c>
      <c r="G287">
        <f t="shared" si="4"/>
        <v>310</v>
      </c>
    </row>
    <row r="288" spans="1:7">
      <c r="A288" s="4">
        <v>311</v>
      </c>
      <c r="B288" s="4">
        <v>34</v>
      </c>
      <c r="C288" s="4">
        <v>1</v>
      </c>
      <c r="D288" s="66" t="s">
        <v>1964</v>
      </c>
      <c r="E288" s="4" t="s">
        <v>979</v>
      </c>
      <c r="F288">
        <f>VLOOKUP(B288,[1]Base!$A$8:$U$66,21,FALSE)</f>
        <v>4</v>
      </c>
      <c r="G288">
        <f t="shared" si="4"/>
        <v>401</v>
      </c>
    </row>
    <row r="289" spans="1:7">
      <c r="A289" s="4">
        <v>312</v>
      </c>
      <c r="B289" s="4">
        <v>34</v>
      </c>
      <c r="C289" s="4">
        <v>2</v>
      </c>
      <c r="D289" s="66" t="s">
        <v>1041</v>
      </c>
      <c r="E289" s="4" t="s">
        <v>809</v>
      </c>
      <c r="F289">
        <f>VLOOKUP(B289,[1]Base!$A$8:$U$66,21,FALSE)</f>
        <v>4</v>
      </c>
      <c r="G289">
        <f t="shared" si="4"/>
        <v>402</v>
      </c>
    </row>
    <row r="290" spans="1:7">
      <c r="A290" s="4">
        <v>313</v>
      </c>
      <c r="B290" s="4">
        <v>34</v>
      </c>
      <c r="C290" s="4">
        <v>3</v>
      </c>
      <c r="D290" s="66" t="s">
        <v>1964</v>
      </c>
      <c r="E290" s="4" t="s">
        <v>810</v>
      </c>
      <c r="F290">
        <f>VLOOKUP(B290,[1]Base!$A$8:$U$66,21,FALSE)</f>
        <v>4</v>
      </c>
      <c r="G290">
        <f t="shared" si="4"/>
        <v>403</v>
      </c>
    </row>
    <row r="291" spans="1:7">
      <c r="A291" s="4">
        <v>314</v>
      </c>
      <c r="B291" s="4">
        <v>34</v>
      </c>
      <c r="C291" s="4">
        <v>4</v>
      </c>
      <c r="D291" s="66" t="s">
        <v>1041</v>
      </c>
      <c r="E291" s="4" t="s">
        <v>811</v>
      </c>
      <c r="F291">
        <f>VLOOKUP(B291,[1]Base!$A$8:$U$66,21,FALSE)</f>
        <v>4</v>
      </c>
      <c r="G291">
        <f t="shared" si="4"/>
        <v>404</v>
      </c>
    </row>
    <row r="292" spans="1:7">
      <c r="A292" s="4">
        <v>315</v>
      </c>
      <c r="B292" s="4">
        <v>34</v>
      </c>
      <c r="C292" s="4">
        <v>5</v>
      </c>
      <c r="D292" s="66" t="s">
        <v>1965</v>
      </c>
      <c r="E292" s="4" t="s">
        <v>812</v>
      </c>
      <c r="F292">
        <f>VLOOKUP(B292,[1]Base!$A$8:$U$66,21,FALSE)</f>
        <v>4</v>
      </c>
      <c r="G292">
        <f t="shared" si="4"/>
        <v>405</v>
      </c>
    </row>
    <row r="293" spans="1:7">
      <c r="A293" s="4">
        <v>316</v>
      </c>
      <c r="B293" s="4">
        <v>34</v>
      </c>
      <c r="C293" s="4">
        <v>6</v>
      </c>
      <c r="D293" s="66" t="s">
        <v>1042</v>
      </c>
      <c r="E293" s="4" t="s">
        <v>814</v>
      </c>
      <c r="F293">
        <f>VLOOKUP(B293,[1]Base!$A$8:$U$66,21,FALSE)</f>
        <v>4</v>
      </c>
      <c r="G293">
        <f t="shared" si="4"/>
        <v>406</v>
      </c>
    </row>
    <row r="294" spans="1:7">
      <c r="A294" s="4">
        <v>317</v>
      </c>
      <c r="B294" s="4">
        <v>34</v>
      </c>
      <c r="C294" s="4">
        <v>7</v>
      </c>
      <c r="D294" s="66" t="s">
        <v>1965</v>
      </c>
      <c r="E294" s="4" t="s">
        <v>815</v>
      </c>
      <c r="F294">
        <f>VLOOKUP(B294,[1]Base!$A$8:$U$66,21,FALSE)</f>
        <v>4</v>
      </c>
      <c r="G294">
        <f t="shared" si="4"/>
        <v>407</v>
      </c>
    </row>
    <row r="295" spans="1:7">
      <c r="A295" s="4">
        <v>318</v>
      </c>
      <c r="B295" s="4">
        <v>34</v>
      </c>
      <c r="C295" s="4">
        <v>8</v>
      </c>
      <c r="D295" s="66" t="s">
        <v>1043</v>
      </c>
      <c r="E295" s="4" t="s">
        <v>816</v>
      </c>
      <c r="F295">
        <f>VLOOKUP(B295,[1]Base!$A$8:$U$66,21,FALSE)</f>
        <v>4</v>
      </c>
      <c r="G295">
        <f t="shared" si="4"/>
        <v>408</v>
      </c>
    </row>
    <row r="296" spans="1:7">
      <c r="A296" s="4">
        <v>319</v>
      </c>
      <c r="B296">
        <v>34</v>
      </c>
      <c r="C296" s="4">
        <v>9</v>
      </c>
      <c r="D296" s="66" t="s">
        <v>1966</v>
      </c>
      <c r="E296" s="4" t="s">
        <v>817</v>
      </c>
      <c r="F296">
        <f>VLOOKUP(B296,[1]Base!$A$8:$U$66,21,FALSE)</f>
        <v>4</v>
      </c>
      <c r="G296">
        <f t="shared" si="4"/>
        <v>409</v>
      </c>
    </row>
    <row r="297" spans="1:7">
      <c r="A297" s="4">
        <v>320</v>
      </c>
      <c r="B297" s="4">
        <v>34</v>
      </c>
      <c r="C297" s="4">
        <v>10</v>
      </c>
      <c r="D297" s="66" t="s">
        <v>1044</v>
      </c>
      <c r="E297" s="4" t="s">
        <v>818</v>
      </c>
      <c r="F297">
        <f>VLOOKUP(B297,[1]Base!$A$8:$U$66,21,FALSE)</f>
        <v>4</v>
      </c>
      <c r="G297">
        <f t="shared" si="4"/>
        <v>410</v>
      </c>
    </row>
    <row r="298" spans="1:7">
      <c r="A298" s="4">
        <v>321</v>
      </c>
      <c r="B298" s="4">
        <v>35</v>
      </c>
      <c r="C298" s="4">
        <v>1</v>
      </c>
      <c r="D298" s="66" t="s">
        <v>1965</v>
      </c>
      <c r="E298" s="4" t="s">
        <v>979</v>
      </c>
      <c r="F298">
        <f>VLOOKUP(B298,[1]Base!$A$8:$U$66,21,FALSE)</f>
        <v>5</v>
      </c>
      <c r="G298">
        <f t="shared" si="4"/>
        <v>501</v>
      </c>
    </row>
    <row r="299" spans="1:7">
      <c r="A299" s="4">
        <v>322</v>
      </c>
      <c r="B299" s="4">
        <v>35</v>
      </c>
      <c r="C299" s="4">
        <v>2</v>
      </c>
      <c r="D299" s="66" t="s">
        <v>2555</v>
      </c>
      <c r="E299" s="4" t="s">
        <v>809</v>
      </c>
      <c r="F299">
        <f>VLOOKUP(B299,[1]Base!$A$8:$U$66,21,FALSE)</f>
        <v>5</v>
      </c>
      <c r="G299">
        <f t="shared" si="4"/>
        <v>502</v>
      </c>
    </row>
    <row r="300" spans="1:7">
      <c r="A300" s="4">
        <v>323</v>
      </c>
      <c r="B300" s="4">
        <v>35</v>
      </c>
      <c r="C300" s="4">
        <v>3</v>
      </c>
      <c r="D300" s="66" t="s">
        <v>1965</v>
      </c>
      <c r="E300" s="4" t="s">
        <v>810</v>
      </c>
      <c r="F300">
        <f>VLOOKUP(B300,[1]Base!$A$8:$U$66,21,FALSE)</f>
        <v>5</v>
      </c>
      <c r="G300">
        <f t="shared" si="4"/>
        <v>503</v>
      </c>
    </row>
    <row r="301" spans="1:7">
      <c r="A301" s="4">
        <v>324</v>
      </c>
      <c r="B301" s="4">
        <v>35</v>
      </c>
      <c r="C301" s="4">
        <v>4</v>
      </c>
      <c r="D301" s="66" t="s">
        <v>2556</v>
      </c>
      <c r="E301" s="4" t="s">
        <v>811</v>
      </c>
      <c r="F301">
        <f>VLOOKUP(B301,[1]Base!$A$8:$U$66,21,FALSE)</f>
        <v>5</v>
      </c>
      <c r="G301">
        <f t="shared" si="4"/>
        <v>504</v>
      </c>
    </row>
    <row r="302" spans="1:7">
      <c r="A302" s="4">
        <v>325</v>
      </c>
      <c r="B302" s="4">
        <v>35</v>
      </c>
      <c r="C302" s="4">
        <v>5</v>
      </c>
      <c r="D302" s="66" t="s">
        <v>1966</v>
      </c>
      <c r="E302" s="4" t="s">
        <v>812</v>
      </c>
      <c r="F302">
        <f>VLOOKUP(B302,[1]Base!$A$8:$U$66,21,FALSE)</f>
        <v>5</v>
      </c>
      <c r="G302">
        <f t="shared" si="4"/>
        <v>505</v>
      </c>
    </row>
    <row r="303" spans="1:7">
      <c r="A303" s="4">
        <v>326</v>
      </c>
      <c r="B303">
        <v>35</v>
      </c>
      <c r="C303" s="4">
        <v>6</v>
      </c>
      <c r="D303" s="66" t="s">
        <v>2556</v>
      </c>
      <c r="E303" s="4" t="s">
        <v>814</v>
      </c>
      <c r="F303">
        <f>VLOOKUP(B303,[1]Base!$A$8:$U$66,21,FALSE)</f>
        <v>5</v>
      </c>
      <c r="G303">
        <f t="shared" si="4"/>
        <v>506</v>
      </c>
    </row>
    <row r="304" spans="1:7">
      <c r="A304" s="4">
        <v>327</v>
      </c>
      <c r="B304">
        <v>35</v>
      </c>
      <c r="C304" s="4">
        <v>7</v>
      </c>
      <c r="D304" s="66" t="s">
        <v>1966</v>
      </c>
      <c r="E304" s="4" t="s">
        <v>815</v>
      </c>
      <c r="F304">
        <f>VLOOKUP(B304,[1]Base!$A$8:$U$66,21,FALSE)</f>
        <v>5</v>
      </c>
      <c r="G304">
        <f t="shared" si="4"/>
        <v>507</v>
      </c>
    </row>
    <row r="305" spans="1:7">
      <c r="A305" s="4">
        <v>328</v>
      </c>
      <c r="B305">
        <v>35</v>
      </c>
      <c r="C305" s="4">
        <v>8</v>
      </c>
      <c r="D305" s="66" t="s">
        <v>2557</v>
      </c>
      <c r="E305" s="4" t="s">
        <v>816</v>
      </c>
      <c r="F305">
        <f>VLOOKUP(B305,[1]Base!$A$8:$U$66,21,FALSE)</f>
        <v>5</v>
      </c>
      <c r="G305">
        <f t="shared" si="4"/>
        <v>508</v>
      </c>
    </row>
    <row r="306" spans="1:7">
      <c r="A306" s="4">
        <v>329</v>
      </c>
      <c r="B306">
        <v>35</v>
      </c>
      <c r="C306" s="4">
        <v>9</v>
      </c>
      <c r="D306" s="66" t="s">
        <v>1968</v>
      </c>
      <c r="E306" s="4" t="s">
        <v>817</v>
      </c>
      <c r="F306">
        <f>VLOOKUP(B306,[1]Base!$A$8:$U$66,21,FALSE)</f>
        <v>5</v>
      </c>
      <c r="G306">
        <f t="shared" si="4"/>
        <v>509</v>
      </c>
    </row>
    <row r="307" spans="1:7">
      <c r="A307" s="4">
        <v>330</v>
      </c>
      <c r="B307">
        <v>35</v>
      </c>
      <c r="C307" s="4">
        <v>10</v>
      </c>
      <c r="D307" s="66" t="s">
        <v>2558</v>
      </c>
      <c r="E307" s="4" t="s">
        <v>818</v>
      </c>
      <c r="F307">
        <f>VLOOKUP(B307,[1]Base!$A$8:$U$66,21,FALSE)</f>
        <v>5</v>
      </c>
      <c r="G307">
        <f t="shared" si="4"/>
        <v>510</v>
      </c>
    </row>
    <row r="308" spans="1:7">
      <c r="A308" s="4">
        <v>331</v>
      </c>
      <c r="B308" s="4">
        <v>37</v>
      </c>
      <c r="C308" s="4">
        <v>1</v>
      </c>
      <c r="D308" s="66" t="s">
        <v>1965</v>
      </c>
      <c r="E308" s="4" t="s">
        <v>979</v>
      </c>
      <c r="F308">
        <f>VLOOKUP(B308,[1]Base!$A$8:$U$66,21,FALSE)</f>
        <v>5</v>
      </c>
      <c r="G308">
        <f t="shared" si="4"/>
        <v>501</v>
      </c>
    </row>
    <row r="309" spans="1:7">
      <c r="A309" s="4">
        <v>332</v>
      </c>
      <c r="B309" s="4">
        <v>37</v>
      </c>
      <c r="C309" s="4">
        <v>2</v>
      </c>
      <c r="D309" s="66" t="s">
        <v>2555</v>
      </c>
      <c r="E309" s="4" t="s">
        <v>809</v>
      </c>
      <c r="F309">
        <f>VLOOKUP(B309,[1]Base!$A$8:$U$66,21,FALSE)</f>
        <v>5</v>
      </c>
      <c r="G309">
        <f t="shared" si="4"/>
        <v>502</v>
      </c>
    </row>
    <row r="310" spans="1:7">
      <c r="A310" s="4">
        <v>333</v>
      </c>
      <c r="B310" s="4">
        <v>37</v>
      </c>
      <c r="C310" s="4">
        <v>3</v>
      </c>
      <c r="D310" s="66" t="s">
        <v>1965</v>
      </c>
      <c r="E310" s="4" t="s">
        <v>810</v>
      </c>
      <c r="F310">
        <f>VLOOKUP(B310,[1]Base!$A$8:$U$66,21,FALSE)</f>
        <v>5</v>
      </c>
      <c r="G310">
        <f t="shared" si="4"/>
        <v>503</v>
      </c>
    </row>
    <row r="311" spans="1:7">
      <c r="A311" s="4">
        <v>334</v>
      </c>
      <c r="B311" s="4">
        <v>37</v>
      </c>
      <c r="C311" s="4">
        <v>4</v>
      </c>
      <c r="D311" s="66" t="s">
        <v>2556</v>
      </c>
      <c r="E311" s="4" t="s">
        <v>811</v>
      </c>
      <c r="F311">
        <f>VLOOKUP(B311,[1]Base!$A$8:$U$66,21,FALSE)</f>
        <v>5</v>
      </c>
      <c r="G311">
        <f t="shared" si="4"/>
        <v>504</v>
      </c>
    </row>
    <row r="312" spans="1:7">
      <c r="A312" s="4">
        <v>335</v>
      </c>
      <c r="B312" s="4">
        <v>37</v>
      </c>
      <c r="C312" s="4">
        <v>5</v>
      </c>
      <c r="D312" s="66" t="s">
        <v>1966</v>
      </c>
      <c r="E312" s="4" t="s">
        <v>812</v>
      </c>
      <c r="F312">
        <f>VLOOKUP(B312,[1]Base!$A$8:$U$66,21,FALSE)</f>
        <v>5</v>
      </c>
      <c r="G312">
        <f t="shared" si="4"/>
        <v>505</v>
      </c>
    </row>
    <row r="313" spans="1:7">
      <c r="A313" s="4">
        <v>336</v>
      </c>
      <c r="B313" s="4">
        <v>37</v>
      </c>
      <c r="C313" s="4">
        <v>6</v>
      </c>
      <c r="D313" s="66" t="s">
        <v>2556</v>
      </c>
      <c r="E313" s="4" t="s">
        <v>814</v>
      </c>
      <c r="F313">
        <f>VLOOKUP(B313,[1]Base!$A$8:$U$66,21,FALSE)</f>
        <v>5</v>
      </c>
      <c r="G313">
        <f t="shared" si="4"/>
        <v>506</v>
      </c>
    </row>
    <row r="314" spans="1:7">
      <c r="A314" s="4">
        <v>337</v>
      </c>
      <c r="B314" s="4">
        <v>37</v>
      </c>
      <c r="C314" s="4">
        <v>7</v>
      </c>
      <c r="D314" s="66" t="s">
        <v>1966</v>
      </c>
      <c r="E314" s="4" t="s">
        <v>815</v>
      </c>
      <c r="F314">
        <f>VLOOKUP(B314,[1]Base!$A$8:$U$66,21,FALSE)</f>
        <v>5</v>
      </c>
      <c r="G314">
        <f t="shared" si="4"/>
        <v>507</v>
      </c>
    </row>
    <row r="315" spans="1:7">
      <c r="A315" s="4">
        <v>338</v>
      </c>
      <c r="B315" s="4">
        <v>37</v>
      </c>
      <c r="C315" s="4">
        <v>8</v>
      </c>
      <c r="D315" s="66" t="s">
        <v>2557</v>
      </c>
      <c r="E315" s="4" t="s">
        <v>816</v>
      </c>
      <c r="F315">
        <f>VLOOKUP(B315,[1]Base!$A$8:$U$66,21,FALSE)</f>
        <v>5</v>
      </c>
      <c r="G315">
        <f t="shared" si="4"/>
        <v>508</v>
      </c>
    </row>
    <row r="316" spans="1:7">
      <c r="A316" s="4">
        <v>339</v>
      </c>
      <c r="B316" s="4">
        <v>37</v>
      </c>
      <c r="C316" s="4">
        <v>9</v>
      </c>
      <c r="D316" s="66" t="s">
        <v>1968</v>
      </c>
      <c r="E316" s="4" t="s">
        <v>817</v>
      </c>
      <c r="F316">
        <f>VLOOKUP(B316,[1]Base!$A$8:$U$66,21,FALSE)</f>
        <v>5</v>
      </c>
      <c r="G316">
        <f t="shared" si="4"/>
        <v>509</v>
      </c>
    </row>
    <row r="317" spans="1:7">
      <c r="A317" s="4">
        <v>340</v>
      </c>
      <c r="B317" s="4">
        <v>37</v>
      </c>
      <c r="C317" s="4">
        <v>10</v>
      </c>
      <c r="D317" s="66" t="s">
        <v>2558</v>
      </c>
      <c r="E317" s="4" t="s">
        <v>818</v>
      </c>
      <c r="F317">
        <f>VLOOKUP(B317,[1]Base!$A$8:$U$66,21,FALSE)</f>
        <v>5</v>
      </c>
      <c r="G317">
        <f t="shared" si="4"/>
        <v>510</v>
      </c>
    </row>
    <row r="318" spans="1:7">
      <c r="A318" s="4">
        <v>341</v>
      </c>
      <c r="B318" s="4">
        <v>38</v>
      </c>
      <c r="C318" s="4">
        <v>1</v>
      </c>
      <c r="D318" s="66" t="s">
        <v>1967</v>
      </c>
      <c r="E318" s="4" t="s">
        <v>979</v>
      </c>
      <c r="F318">
        <f>VLOOKUP(B318,[1]Base!$A$8:$U$66,21,FALSE)</f>
        <v>3</v>
      </c>
      <c r="G318">
        <f t="shared" si="4"/>
        <v>301</v>
      </c>
    </row>
    <row r="319" spans="1:7">
      <c r="A319" s="4">
        <v>342</v>
      </c>
      <c r="B319" s="4">
        <v>38</v>
      </c>
      <c r="C319" s="4">
        <v>2</v>
      </c>
      <c r="D319" s="66" t="s">
        <v>1045</v>
      </c>
      <c r="E319" s="4" t="s">
        <v>809</v>
      </c>
      <c r="F319">
        <f>VLOOKUP(B319,[1]Base!$A$8:$U$66,21,FALSE)</f>
        <v>3</v>
      </c>
      <c r="G319">
        <f t="shared" si="4"/>
        <v>302</v>
      </c>
    </row>
    <row r="320" spans="1:7">
      <c r="A320" s="4">
        <v>343</v>
      </c>
      <c r="B320" s="4">
        <v>38</v>
      </c>
      <c r="C320" s="4">
        <v>3</v>
      </c>
      <c r="D320" s="66" t="s">
        <v>1967</v>
      </c>
      <c r="E320" s="4" t="s">
        <v>810</v>
      </c>
      <c r="F320">
        <f>VLOOKUP(B320,[1]Base!$A$8:$U$66,21,FALSE)</f>
        <v>3</v>
      </c>
      <c r="G320">
        <f t="shared" si="4"/>
        <v>303</v>
      </c>
    </row>
    <row r="321" spans="1:7">
      <c r="A321" s="4">
        <v>344</v>
      </c>
      <c r="B321" s="4">
        <v>38</v>
      </c>
      <c r="C321" s="4">
        <v>4</v>
      </c>
      <c r="D321" s="66" t="s">
        <v>1045</v>
      </c>
      <c r="E321" s="4" t="s">
        <v>811</v>
      </c>
      <c r="F321">
        <f>VLOOKUP(B321,[1]Base!$A$8:$U$66,21,FALSE)</f>
        <v>3</v>
      </c>
      <c r="G321">
        <f t="shared" si="4"/>
        <v>304</v>
      </c>
    </row>
    <row r="322" spans="1:7">
      <c r="A322" s="4">
        <v>345</v>
      </c>
      <c r="B322">
        <v>38</v>
      </c>
      <c r="C322" s="4">
        <v>5</v>
      </c>
      <c r="D322" s="66" t="s">
        <v>1964</v>
      </c>
      <c r="E322" s="4" t="s">
        <v>812</v>
      </c>
      <c r="F322">
        <f>VLOOKUP(B322,[1]Base!$A$8:$U$66,21,FALSE)</f>
        <v>3</v>
      </c>
      <c r="G322">
        <f t="shared" si="4"/>
        <v>305</v>
      </c>
    </row>
    <row r="323" spans="1:7">
      <c r="A323" s="4">
        <v>346</v>
      </c>
      <c r="B323" s="4">
        <v>38</v>
      </c>
      <c r="C323" s="4">
        <v>6</v>
      </c>
      <c r="D323" s="66" t="s">
        <v>1046</v>
      </c>
      <c r="E323" s="4" t="s">
        <v>814</v>
      </c>
      <c r="F323">
        <f>VLOOKUP(B323,[1]Base!$A$8:$U$66,21,FALSE)</f>
        <v>3</v>
      </c>
      <c r="G323">
        <f t="shared" si="4"/>
        <v>306</v>
      </c>
    </row>
    <row r="324" spans="1:7">
      <c r="A324" s="4">
        <v>347</v>
      </c>
      <c r="B324" s="4">
        <v>38</v>
      </c>
      <c r="C324" s="4">
        <v>7</v>
      </c>
      <c r="D324" s="66" t="s">
        <v>1964</v>
      </c>
      <c r="E324" s="4" t="s">
        <v>815</v>
      </c>
      <c r="F324">
        <f>VLOOKUP(B324,[1]Base!$A$8:$U$66,21,FALSE)</f>
        <v>3</v>
      </c>
      <c r="G324">
        <f t="shared" si="4"/>
        <v>307</v>
      </c>
    </row>
    <row r="325" spans="1:7">
      <c r="A325" s="4">
        <v>348</v>
      </c>
      <c r="B325" s="4">
        <v>38</v>
      </c>
      <c r="C325" s="4">
        <v>8</v>
      </c>
      <c r="D325" s="66" t="s">
        <v>1042</v>
      </c>
      <c r="E325" s="4" t="s">
        <v>816</v>
      </c>
      <c r="F325">
        <f>VLOOKUP(B325,[1]Base!$A$8:$U$66,21,FALSE)</f>
        <v>3</v>
      </c>
      <c r="G325">
        <f t="shared" si="4"/>
        <v>308</v>
      </c>
    </row>
    <row r="326" spans="1:7">
      <c r="A326" s="4">
        <v>349</v>
      </c>
      <c r="B326" s="4">
        <v>38</v>
      </c>
      <c r="C326" s="4">
        <v>9</v>
      </c>
      <c r="D326" s="66" t="s">
        <v>1965</v>
      </c>
      <c r="E326" s="4" t="s">
        <v>817</v>
      </c>
      <c r="F326">
        <f>VLOOKUP(B326,[1]Base!$A$8:$U$66,21,FALSE)</f>
        <v>3</v>
      </c>
      <c r="G326">
        <f t="shared" si="4"/>
        <v>309</v>
      </c>
    </row>
    <row r="327" spans="1:7">
      <c r="A327" s="4">
        <v>350</v>
      </c>
      <c r="B327" s="4">
        <v>38</v>
      </c>
      <c r="C327" s="4">
        <v>10</v>
      </c>
      <c r="D327" s="66" t="s">
        <v>1047</v>
      </c>
      <c r="E327" s="4" t="s">
        <v>818</v>
      </c>
      <c r="F327">
        <f>VLOOKUP(B327,[1]Base!$A$8:$U$66,21,FALSE)</f>
        <v>3</v>
      </c>
      <c r="G327">
        <f t="shared" si="4"/>
        <v>310</v>
      </c>
    </row>
    <row r="328" spans="1:7">
      <c r="A328" s="4">
        <v>351</v>
      </c>
      <c r="B328" s="4">
        <v>39</v>
      </c>
      <c r="C328" s="4">
        <v>1</v>
      </c>
      <c r="D328" s="66" t="s">
        <v>1965</v>
      </c>
      <c r="E328" s="4" t="s">
        <v>979</v>
      </c>
      <c r="F328">
        <f>VLOOKUP(B328,[1]Base!$A$8:$U$66,21,FALSE)</f>
        <v>5</v>
      </c>
      <c r="G328">
        <f t="shared" si="4"/>
        <v>501</v>
      </c>
    </row>
    <row r="329" spans="1:7">
      <c r="A329" s="4">
        <v>352</v>
      </c>
      <c r="B329" s="4">
        <v>39</v>
      </c>
      <c r="C329" s="4">
        <v>2</v>
      </c>
      <c r="D329" s="66" t="s">
        <v>2555</v>
      </c>
      <c r="E329" s="4" t="s">
        <v>809</v>
      </c>
      <c r="F329">
        <f>VLOOKUP(B329,[1]Base!$A$8:$U$66,21,FALSE)</f>
        <v>5</v>
      </c>
      <c r="G329">
        <f t="shared" ref="G329:G392" si="5">F329*100+C329</f>
        <v>502</v>
      </c>
    </row>
    <row r="330" spans="1:7">
      <c r="A330" s="4">
        <v>353</v>
      </c>
      <c r="B330">
        <v>39</v>
      </c>
      <c r="C330" s="4">
        <v>3</v>
      </c>
      <c r="D330" s="66" t="s">
        <v>1965</v>
      </c>
      <c r="E330" s="4" t="s">
        <v>810</v>
      </c>
      <c r="F330">
        <f>VLOOKUP(B330,[1]Base!$A$8:$U$66,21,FALSE)</f>
        <v>5</v>
      </c>
      <c r="G330">
        <f t="shared" si="5"/>
        <v>503</v>
      </c>
    </row>
    <row r="331" spans="1:7">
      <c r="A331" s="4">
        <v>354</v>
      </c>
      <c r="B331">
        <v>39</v>
      </c>
      <c r="C331" s="4">
        <v>4</v>
      </c>
      <c r="D331" s="66" t="s">
        <v>2556</v>
      </c>
      <c r="E331" s="4" t="s">
        <v>811</v>
      </c>
      <c r="F331">
        <f>VLOOKUP(B331,[1]Base!$A$8:$U$66,21,FALSE)</f>
        <v>5</v>
      </c>
      <c r="G331">
        <f t="shared" si="5"/>
        <v>504</v>
      </c>
    </row>
    <row r="332" spans="1:7">
      <c r="A332" s="4">
        <v>355</v>
      </c>
      <c r="B332">
        <v>39</v>
      </c>
      <c r="C332" s="4">
        <v>5</v>
      </c>
      <c r="D332" s="66" t="s">
        <v>1966</v>
      </c>
      <c r="E332" s="4" t="s">
        <v>812</v>
      </c>
      <c r="F332">
        <f>VLOOKUP(B332,[1]Base!$A$8:$U$66,21,FALSE)</f>
        <v>5</v>
      </c>
      <c r="G332">
        <f t="shared" si="5"/>
        <v>505</v>
      </c>
    </row>
    <row r="333" spans="1:7">
      <c r="A333" s="4">
        <v>356</v>
      </c>
      <c r="B333">
        <v>39</v>
      </c>
      <c r="C333" s="4">
        <v>6</v>
      </c>
      <c r="D333" s="66" t="s">
        <v>2556</v>
      </c>
      <c r="E333" s="4" t="s">
        <v>814</v>
      </c>
      <c r="F333">
        <f>VLOOKUP(B333,[1]Base!$A$8:$U$66,21,FALSE)</f>
        <v>5</v>
      </c>
      <c r="G333">
        <f t="shared" si="5"/>
        <v>506</v>
      </c>
    </row>
    <row r="334" spans="1:7">
      <c r="A334" s="4">
        <v>357</v>
      </c>
      <c r="B334" s="4">
        <v>39</v>
      </c>
      <c r="C334" s="4">
        <v>7</v>
      </c>
      <c r="D334" s="66" t="s">
        <v>1966</v>
      </c>
      <c r="E334" s="4" t="s">
        <v>815</v>
      </c>
      <c r="F334">
        <f>VLOOKUP(B334,[1]Base!$A$8:$U$66,21,FALSE)</f>
        <v>5</v>
      </c>
      <c r="G334">
        <f t="shared" si="5"/>
        <v>507</v>
      </c>
    </row>
    <row r="335" spans="1:7">
      <c r="A335" s="4">
        <v>358</v>
      </c>
      <c r="B335" s="4">
        <v>39</v>
      </c>
      <c r="C335" s="4">
        <v>8</v>
      </c>
      <c r="D335" s="66" t="s">
        <v>2557</v>
      </c>
      <c r="E335" s="4" t="s">
        <v>816</v>
      </c>
      <c r="F335">
        <f>VLOOKUP(B335,[1]Base!$A$8:$U$66,21,FALSE)</f>
        <v>5</v>
      </c>
      <c r="G335">
        <f t="shared" si="5"/>
        <v>508</v>
      </c>
    </row>
    <row r="336" spans="1:7">
      <c r="A336" s="4">
        <v>359</v>
      </c>
      <c r="B336" s="4">
        <v>39</v>
      </c>
      <c r="C336" s="4">
        <v>9</v>
      </c>
      <c r="D336" s="66" t="s">
        <v>1968</v>
      </c>
      <c r="E336" s="4" t="s">
        <v>817</v>
      </c>
      <c r="F336">
        <f>VLOOKUP(B336,[1]Base!$A$8:$U$66,21,FALSE)</f>
        <v>5</v>
      </c>
      <c r="G336">
        <f t="shared" si="5"/>
        <v>509</v>
      </c>
    </row>
    <row r="337" spans="1:7">
      <c r="A337" s="4">
        <v>360</v>
      </c>
      <c r="B337" s="4">
        <v>39</v>
      </c>
      <c r="C337" s="4">
        <v>10</v>
      </c>
      <c r="D337" s="66" t="s">
        <v>2558</v>
      </c>
      <c r="E337" s="4" t="s">
        <v>818</v>
      </c>
      <c r="F337">
        <f>VLOOKUP(B337,[1]Base!$A$8:$U$66,21,FALSE)</f>
        <v>5</v>
      </c>
      <c r="G337">
        <f t="shared" si="5"/>
        <v>510</v>
      </c>
    </row>
    <row r="338" spans="1:7">
      <c r="A338" s="4">
        <v>361</v>
      </c>
      <c r="B338" s="4">
        <v>40</v>
      </c>
      <c r="C338" s="4">
        <v>1</v>
      </c>
      <c r="D338" s="66" t="s">
        <v>1965</v>
      </c>
      <c r="E338" s="4" t="s">
        <v>979</v>
      </c>
      <c r="F338">
        <f>VLOOKUP(B338,[1]Base!$A$8:$U$66,21,FALSE)</f>
        <v>5</v>
      </c>
      <c r="G338">
        <f t="shared" si="5"/>
        <v>501</v>
      </c>
    </row>
    <row r="339" spans="1:7">
      <c r="A339" s="4">
        <v>362</v>
      </c>
      <c r="B339" s="4">
        <v>40</v>
      </c>
      <c r="C339" s="4">
        <v>2</v>
      </c>
      <c r="D339" s="66" t="s">
        <v>2555</v>
      </c>
      <c r="E339" s="4" t="s">
        <v>809</v>
      </c>
      <c r="F339">
        <f>VLOOKUP(B339,[1]Base!$A$8:$U$66,21,FALSE)</f>
        <v>5</v>
      </c>
      <c r="G339">
        <f t="shared" si="5"/>
        <v>502</v>
      </c>
    </row>
    <row r="340" spans="1:7">
      <c r="A340" s="4">
        <v>363</v>
      </c>
      <c r="B340" s="4">
        <v>40</v>
      </c>
      <c r="C340" s="4">
        <v>3</v>
      </c>
      <c r="D340" s="66" t="s">
        <v>1965</v>
      </c>
      <c r="E340" s="4" t="s">
        <v>810</v>
      </c>
      <c r="F340">
        <f>VLOOKUP(B340,[1]Base!$A$8:$U$66,21,FALSE)</f>
        <v>5</v>
      </c>
      <c r="G340">
        <f t="shared" si="5"/>
        <v>503</v>
      </c>
    </row>
    <row r="341" spans="1:7">
      <c r="A341" s="4">
        <v>364</v>
      </c>
      <c r="B341">
        <v>40</v>
      </c>
      <c r="C341" s="4">
        <v>4</v>
      </c>
      <c r="D341" s="66" t="s">
        <v>2556</v>
      </c>
      <c r="E341" s="4" t="s">
        <v>811</v>
      </c>
      <c r="F341">
        <f>VLOOKUP(B341,[1]Base!$A$8:$U$66,21,FALSE)</f>
        <v>5</v>
      </c>
      <c r="G341">
        <f t="shared" si="5"/>
        <v>504</v>
      </c>
    </row>
    <row r="342" spans="1:7">
      <c r="A342" s="4">
        <v>365</v>
      </c>
      <c r="B342" s="4">
        <v>40</v>
      </c>
      <c r="C342" s="4">
        <v>5</v>
      </c>
      <c r="D342" s="66" t="s">
        <v>1966</v>
      </c>
      <c r="E342" s="4" t="s">
        <v>812</v>
      </c>
      <c r="F342">
        <f>VLOOKUP(B342,[1]Base!$A$8:$U$66,21,FALSE)</f>
        <v>5</v>
      </c>
      <c r="G342">
        <f t="shared" si="5"/>
        <v>505</v>
      </c>
    </row>
    <row r="343" spans="1:7">
      <c r="A343" s="4">
        <v>366</v>
      </c>
      <c r="B343" s="4">
        <v>40</v>
      </c>
      <c r="C343" s="4">
        <v>6</v>
      </c>
      <c r="D343" s="66" t="s">
        <v>2556</v>
      </c>
      <c r="E343" s="4" t="s">
        <v>814</v>
      </c>
      <c r="F343">
        <f>VLOOKUP(B343,[1]Base!$A$8:$U$66,21,FALSE)</f>
        <v>5</v>
      </c>
      <c r="G343">
        <f t="shared" si="5"/>
        <v>506</v>
      </c>
    </row>
    <row r="344" spans="1:7">
      <c r="A344" s="4">
        <v>367</v>
      </c>
      <c r="B344" s="4">
        <v>40</v>
      </c>
      <c r="C344" s="4">
        <v>7</v>
      </c>
      <c r="D344" s="66" t="s">
        <v>1966</v>
      </c>
      <c r="E344" s="4" t="s">
        <v>815</v>
      </c>
      <c r="F344">
        <f>VLOOKUP(B344,[1]Base!$A$8:$U$66,21,FALSE)</f>
        <v>5</v>
      </c>
      <c r="G344">
        <f t="shared" si="5"/>
        <v>507</v>
      </c>
    </row>
    <row r="345" spans="1:7">
      <c r="A345" s="4">
        <v>368</v>
      </c>
      <c r="B345" s="4">
        <v>40</v>
      </c>
      <c r="C345" s="4">
        <v>8</v>
      </c>
      <c r="D345" s="66" t="s">
        <v>2557</v>
      </c>
      <c r="E345" s="4" t="s">
        <v>816</v>
      </c>
      <c r="F345">
        <f>VLOOKUP(B345,[1]Base!$A$8:$U$66,21,FALSE)</f>
        <v>5</v>
      </c>
      <c r="G345">
        <f t="shared" si="5"/>
        <v>508</v>
      </c>
    </row>
    <row r="346" spans="1:7">
      <c r="A346" s="4">
        <v>369</v>
      </c>
      <c r="B346" s="4">
        <v>40</v>
      </c>
      <c r="C346" s="4">
        <v>9</v>
      </c>
      <c r="D346" s="66" t="s">
        <v>1968</v>
      </c>
      <c r="E346" s="4" t="s">
        <v>817</v>
      </c>
      <c r="F346">
        <f>VLOOKUP(B346,[1]Base!$A$8:$U$66,21,FALSE)</f>
        <v>5</v>
      </c>
      <c r="G346">
        <f t="shared" si="5"/>
        <v>509</v>
      </c>
    </row>
    <row r="347" spans="1:7">
      <c r="A347" s="4">
        <v>370</v>
      </c>
      <c r="B347" s="4">
        <v>40</v>
      </c>
      <c r="C347" s="4">
        <v>10</v>
      </c>
      <c r="D347" s="66" t="s">
        <v>2558</v>
      </c>
      <c r="E347" s="4" t="s">
        <v>818</v>
      </c>
      <c r="F347">
        <f>VLOOKUP(B347,[1]Base!$A$8:$U$66,21,FALSE)</f>
        <v>5</v>
      </c>
      <c r="G347">
        <f t="shared" si="5"/>
        <v>510</v>
      </c>
    </row>
    <row r="348" spans="1:7">
      <c r="A348" s="4">
        <v>371</v>
      </c>
      <c r="B348" s="4">
        <v>41</v>
      </c>
      <c r="C348" s="4">
        <v>1</v>
      </c>
      <c r="D348" s="66" t="s">
        <v>1964</v>
      </c>
      <c r="E348" s="4" t="s">
        <v>979</v>
      </c>
      <c r="F348">
        <f>VLOOKUP(B348,[1]Base!$A$8:$U$66,21,FALSE)</f>
        <v>4</v>
      </c>
      <c r="G348">
        <f t="shared" si="5"/>
        <v>401</v>
      </c>
    </row>
    <row r="349" spans="1:7">
      <c r="A349" s="4">
        <v>372</v>
      </c>
      <c r="B349">
        <v>41</v>
      </c>
      <c r="C349" s="4">
        <v>2</v>
      </c>
      <c r="D349" s="66" t="s">
        <v>1041</v>
      </c>
      <c r="E349" s="4" t="s">
        <v>809</v>
      </c>
      <c r="F349">
        <f>VLOOKUP(B349,[1]Base!$A$8:$U$66,21,FALSE)</f>
        <v>4</v>
      </c>
      <c r="G349">
        <f t="shared" si="5"/>
        <v>402</v>
      </c>
    </row>
    <row r="350" spans="1:7">
      <c r="A350" s="4">
        <v>373</v>
      </c>
      <c r="B350" s="4">
        <v>41</v>
      </c>
      <c r="C350" s="4">
        <v>3</v>
      </c>
      <c r="D350" s="66" t="s">
        <v>1964</v>
      </c>
      <c r="E350" s="4" t="s">
        <v>810</v>
      </c>
      <c r="F350">
        <f>VLOOKUP(B350,[1]Base!$A$8:$U$66,21,FALSE)</f>
        <v>4</v>
      </c>
      <c r="G350">
        <f t="shared" si="5"/>
        <v>403</v>
      </c>
    </row>
    <row r="351" spans="1:7">
      <c r="A351" s="4">
        <v>374</v>
      </c>
      <c r="B351" s="4">
        <v>41</v>
      </c>
      <c r="C351" s="4">
        <v>4</v>
      </c>
      <c r="D351" s="66" t="s">
        <v>1041</v>
      </c>
      <c r="E351" s="4" t="s">
        <v>811</v>
      </c>
      <c r="F351">
        <f>VLOOKUP(B351,[1]Base!$A$8:$U$66,21,FALSE)</f>
        <v>4</v>
      </c>
      <c r="G351">
        <f t="shared" si="5"/>
        <v>404</v>
      </c>
    </row>
    <row r="352" spans="1:7">
      <c r="A352" s="4">
        <v>375</v>
      </c>
      <c r="B352" s="4">
        <v>41</v>
      </c>
      <c r="C352" s="4">
        <v>5</v>
      </c>
      <c r="D352" s="66" t="s">
        <v>1965</v>
      </c>
      <c r="E352" s="4" t="s">
        <v>812</v>
      </c>
      <c r="F352">
        <f>VLOOKUP(B352,[1]Base!$A$8:$U$66,21,FALSE)</f>
        <v>4</v>
      </c>
      <c r="G352">
        <f t="shared" si="5"/>
        <v>405</v>
      </c>
    </row>
    <row r="353" spans="1:7">
      <c r="A353" s="4">
        <v>376</v>
      </c>
      <c r="B353" s="4">
        <v>41</v>
      </c>
      <c r="C353" s="4">
        <v>6</v>
      </c>
      <c r="D353" s="66" t="s">
        <v>1042</v>
      </c>
      <c r="E353" s="4" t="s">
        <v>814</v>
      </c>
      <c r="F353">
        <f>VLOOKUP(B353,[1]Base!$A$8:$U$66,21,FALSE)</f>
        <v>4</v>
      </c>
      <c r="G353">
        <f t="shared" si="5"/>
        <v>406</v>
      </c>
    </row>
    <row r="354" spans="1:7">
      <c r="A354" s="4">
        <v>377</v>
      </c>
      <c r="B354" s="4">
        <v>41</v>
      </c>
      <c r="C354" s="4">
        <v>7</v>
      </c>
      <c r="D354" s="66" t="s">
        <v>1965</v>
      </c>
      <c r="E354" s="4" t="s">
        <v>815</v>
      </c>
      <c r="F354">
        <f>VLOOKUP(B354,[1]Base!$A$8:$U$66,21,FALSE)</f>
        <v>4</v>
      </c>
      <c r="G354">
        <f t="shared" si="5"/>
        <v>407</v>
      </c>
    </row>
    <row r="355" spans="1:7">
      <c r="A355" s="4">
        <v>378</v>
      </c>
      <c r="B355" s="4">
        <v>41</v>
      </c>
      <c r="C355" s="4">
        <v>8</v>
      </c>
      <c r="D355" s="66" t="s">
        <v>1043</v>
      </c>
      <c r="E355" s="4" t="s">
        <v>816</v>
      </c>
      <c r="F355">
        <f>VLOOKUP(B355,[1]Base!$A$8:$U$66,21,FALSE)</f>
        <v>4</v>
      </c>
      <c r="G355">
        <f t="shared" si="5"/>
        <v>408</v>
      </c>
    </row>
    <row r="356" spans="1:7">
      <c r="A356" s="4">
        <v>379</v>
      </c>
      <c r="B356">
        <v>41</v>
      </c>
      <c r="C356" s="4">
        <v>9</v>
      </c>
      <c r="D356" s="66" t="s">
        <v>1966</v>
      </c>
      <c r="E356" s="4" t="s">
        <v>817</v>
      </c>
      <c r="F356">
        <f>VLOOKUP(B356,[1]Base!$A$8:$U$66,21,FALSE)</f>
        <v>4</v>
      </c>
      <c r="G356">
        <f t="shared" si="5"/>
        <v>409</v>
      </c>
    </row>
    <row r="357" spans="1:7">
      <c r="A357" s="4">
        <v>380</v>
      </c>
      <c r="B357" s="4">
        <v>41</v>
      </c>
      <c r="C357" s="4">
        <v>10</v>
      </c>
      <c r="D357" s="66" t="s">
        <v>1044</v>
      </c>
      <c r="E357" s="4" t="s">
        <v>818</v>
      </c>
      <c r="F357">
        <f>VLOOKUP(B357,[1]Base!$A$8:$U$66,21,FALSE)</f>
        <v>4</v>
      </c>
      <c r="G357">
        <f t="shared" si="5"/>
        <v>410</v>
      </c>
    </row>
    <row r="358" spans="1:7">
      <c r="A358" s="4">
        <v>381</v>
      </c>
      <c r="B358" s="4">
        <v>42</v>
      </c>
      <c r="C358" s="4">
        <v>1</v>
      </c>
      <c r="D358" s="66" t="s">
        <v>1967</v>
      </c>
      <c r="E358" s="4" t="s">
        <v>979</v>
      </c>
      <c r="F358">
        <f>VLOOKUP(B358,[1]Base!$A$8:$U$66,21,FALSE)</f>
        <v>3</v>
      </c>
      <c r="G358">
        <f t="shared" si="5"/>
        <v>301</v>
      </c>
    </row>
    <row r="359" spans="1:7">
      <c r="A359" s="4">
        <v>382</v>
      </c>
      <c r="B359" s="4">
        <v>42</v>
      </c>
      <c r="C359" s="4">
        <v>2</v>
      </c>
      <c r="D359" s="66" t="s">
        <v>1045</v>
      </c>
      <c r="E359" s="4" t="s">
        <v>809</v>
      </c>
      <c r="F359">
        <f>VLOOKUP(B359,[1]Base!$A$8:$U$66,21,FALSE)</f>
        <v>3</v>
      </c>
      <c r="G359">
        <f t="shared" si="5"/>
        <v>302</v>
      </c>
    </row>
    <row r="360" spans="1:7">
      <c r="A360" s="4">
        <v>383</v>
      </c>
      <c r="B360" s="4">
        <v>42</v>
      </c>
      <c r="C360" s="4">
        <v>3</v>
      </c>
      <c r="D360" s="66" t="s">
        <v>1967</v>
      </c>
      <c r="E360" s="4" t="s">
        <v>810</v>
      </c>
      <c r="F360">
        <f>VLOOKUP(B360,[1]Base!$A$8:$U$66,21,FALSE)</f>
        <v>3</v>
      </c>
      <c r="G360">
        <f t="shared" si="5"/>
        <v>303</v>
      </c>
    </row>
    <row r="361" spans="1:7">
      <c r="A361" s="4">
        <v>384</v>
      </c>
      <c r="B361" s="4">
        <v>42</v>
      </c>
      <c r="C361" s="4">
        <v>4</v>
      </c>
      <c r="D361" s="66" t="s">
        <v>1045</v>
      </c>
      <c r="E361" s="4" t="s">
        <v>811</v>
      </c>
      <c r="F361">
        <f>VLOOKUP(B361,[1]Base!$A$8:$U$66,21,FALSE)</f>
        <v>3</v>
      </c>
      <c r="G361">
        <f t="shared" si="5"/>
        <v>304</v>
      </c>
    </row>
    <row r="362" spans="1:7">
      <c r="A362" s="4">
        <v>385</v>
      </c>
      <c r="B362" s="4">
        <v>42</v>
      </c>
      <c r="C362" s="4">
        <v>5</v>
      </c>
      <c r="D362" s="66" t="s">
        <v>1964</v>
      </c>
      <c r="E362" s="4" t="s">
        <v>812</v>
      </c>
      <c r="F362">
        <f>VLOOKUP(B362,[1]Base!$A$8:$U$66,21,FALSE)</f>
        <v>3</v>
      </c>
      <c r="G362">
        <f t="shared" si="5"/>
        <v>305</v>
      </c>
    </row>
    <row r="363" spans="1:7">
      <c r="A363" s="4">
        <v>386</v>
      </c>
      <c r="B363">
        <v>42</v>
      </c>
      <c r="C363" s="4">
        <v>6</v>
      </c>
      <c r="D363" s="66" t="s">
        <v>1046</v>
      </c>
      <c r="E363" s="4" t="s">
        <v>814</v>
      </c>
      <c r="F363">
        <f>VLOOKUP(B363,[1]Base!$A$8:$U$66,21,FALSE)</f>
        <v>3</v>
      </c>
      <c r="G363">
        <f t="shared" si="5"/>
        <v>306</v>
      </c>
    </row>
    <row r="364" spans="1:7">
      <c r="A364" s="4">
        <v>387</v>
      </c>
      <c r="B364">
        <v>42</v>
      </c>
      <c r="C364" s="4">
        <v>7</v>
      </c>
      <c r="D364" s="66" t="s">
        <v>1964</v>
      </c>
      <c r="E364" s="4" t="s">
        <v>815</v>
      </c>
      <c r="F364">
        <f>VLOOKUP(B364,[1]Base!$A$8:$U$66,21,FALSE)</f>
        <v>3</v>
      </c>
      <c r="G364">
        <f t="shared" si="5"/>
        <v>307</v>
      </c>
    </row>
    <row r="365" spans="1:7">
      <c r="A365" s="4">
        <v>388</v>
      </c>
      <c r="B365">
        <v>42</v>
      </c>
      <c r="C365" s="4">
        <v>8</v>
      </c>
      <c r="D365" s="66" t="s">
        <v>1042</v>
      </c>
      <c r="E365" s="4" t="s">
        <v>816</v>
      </c>
      <c r="F365">
        <f>VLOOKUP(B365,[1]Base!$A$8:$U$66,21,FALSE)</f>
        <v>3</v>
      </c>
      <c r="G365">
        <f t="shared" si="5"/>
        <v>308</v>
      </c>
    </row>
    <row r="366" spans="1:7">
      <c r="A366" s="4">
        <v>389</v>
      </c>
      <c r="B366">
        <v>42</v>
      </c>
      <c r="C366" s="4">
        <v>9</v>
      </c>
      <c r="D366" s="66" t="s">
        <v>1965</v>
      </c>
      <c r="E366" s="4" t="s">
        <v>817</v>
      </c>
      <c r="F366">
        <f>VLOOKUP(B366,[1]Base!$A$8:$U$66,21,FALSE)</f>
        <v>3</v>
      </c>
      <c r="G366">
        <f t="shared" si="5"/>
        <v>309</v>
      </c>
    </row>
    <row r="367" spans="1:7">
      <c r="A367" s="4">
        <v>390</v>
      </c>
      <c r="B367">
        <v>42</v>
      </c>
      <c r="C367" s="4">
        <v>10</v>
      </c>
      <c r="D367" s="66" t="s">
        <v>1047</v>
      </c>
      <c r="E367" s="4" t="s">
        <v>818</v>
      </c>
      <c r="F367">
        <f>VLOOKUP(B367,[1]Base!$A$8:$U$66,21,FALSE)</f>
        <v>3</v>
      </c>
      <c r="G367">
        <f t="shared" si="5"/>
        <v>310</v>
      </c>
    </row>
    <row r="368" spans="1:7">
      <c r="A368" s="4">
        <v>401</v>
      </c>
      <c r="B368" s="4">
        <v>44</v>
      </c>
      <c r="C368" s="4">
        <v>1</v>
      </c>
      <c r="D368" s="66" t="s">
        <v>1965</v>
      </c>
      <c r="E368" s="4" t="s">
        <v>979</v>
      </c>
      <c r="F368">
        <f>VLOOKUP(B368,[1]Base!$A$8:$U$66,21,FALSE)</f>
        <v>5</v>
      </c>
      <c r="G368">
        <f t="shared" si="5"/>
        <v>501</v>
      </c>
    </row>
    <row r="369" spans="1:7">
      <c r="A369" s="4">
        <v>402</v>
      </c>
      <c r="B369" s="4">
        <v>44</v>
      </c>
      <c r="C369" s="4">
        <v>2</v>
      </c>
      <c r="D369" s="66" t="s">
        <v>2555</v>
      </c>
      <c r="E369" s="4" t="s">
        <v>809</v>
      </c>
      <c r="F369">
        <f>VLOOKUP(B369,[1]Base!$A$8:$U$66,21,FALSE)</f>
        <v>5</v>
      </c>
      <c r="G369">
        <f t="shared" si="5"/>
        <v>502</v>
      </c>
    </row>
    <row r="370" spans="1:7">
      <c r="A370" s="4">
        <v>403</v>
      </c>
      <c r="B370" s="4">
        <v>44</v>
      </c>
      <c r="C370" s="4">
        <v>3</v>
      </c>
      <c r="D370" s="66" t="s">
        <v>1965</v>
      </c>
      <c r="E370" s="4" t="s">
        <v>810</v>
      </c>
      <c r="F370">
        <f>VLOOKUP(B370,[1]Base!$A$8:$U$66,21,FALSE)</f>
        <v>5</v>
      </c>
      <c r="G370">
        <f t="shared" si="5"/>
        <v>503</v>
      </c>
    </row>
    <row r="371" spans="1:7">
      <c r="A371" s="4">
        <v>404</v>
      </c>
      <c r="B371" s="4">
        <v>44</v>
      </c>
      <c r="C371" s="4">
        <v>4</v>
      </c>
      <c r="D371" s="66" t="s">
        <v>2556</v>
      </c>
      <c r="E371" s="4" t="s">
        <v>811</v>
      </c>
      <c r="F371">
        <f>VLOOKUP(B371,[1]Base!$A$8:$U$66,21,FALSE)</f>
        <v>5</v>
      </c>
      <c r="G371">
        <f t="shared" si="5"/>
        <v>504</v>
      </c>
    </row>
    <row r="372" spans="1:7">
      <c r="A372" s="4">
        <v>405</v>
      </c>
      <c r="B372">
        <v>44</v>
      </c>
      <c r="C372" s="4">
        <v>5</v>
      </c>
      <c r="D372" s="66" t="s">
        <v>1966</v>
      </c>
      <c r="E372" s="4" t="s">
        <v>812</v>
      </c>
      <c r="F372">
        <f>VLOOKUP(B372,[1]Base!$A$8:$U$66,21,FALSE)</f>
        <v>5</v>
      </c>
      <c r="G372">
        <f t="shared" si="5"/>
        <v>505</v>
      </c>
    </row>
    <row r="373" spans="1:7">
      <c r="A373" s="4">
        <v>406</v>
      </c>
      <c r="B373" s="4">
        <v>44</v>
      </c>
      <c r="C373" s="4">
        <v>6</v>
      </c>
      <c r="D373" s="66" t="s">
        <v>2556</v>
      </c>
      <c r="E373" s="4" t="s">
        <v>814</v>
      </c>
      <c r="F373">
        <f>VLOOKUP(B373,[1]Base!$A$8:$U$66,21,FALSE)</f>
        <v>5</v>
      </c>
      <c r="G373">
        <f t="shared" si="5"/>
        <v>506</v>
      </c>
    </row>
    <row r="374" spans="1:7">
      <c r="A374" s="4">
        <v>407</v>
      </c>
      <c r="B374" s="4">
        <v>44</v>
      </c>
      <c r="C374" s="4">
        <v>7</v>
      </c>
      <c r="D374" s="66" t="s">
        <v>1966</v>
      </c>
      <c r="E374" s="4" t="s">
        <v>815</v>
      </c>
      <c r="F374">
        <f>VLOOKUP(B374,[1]Base!$A$8:$U$66,21,FALSE)</f>
        <v>5</v>
      </c>
      <c r="G374">
        <f t="shared" si="5"/>
        <v>507</v>
      </c>
    </row>
    <row r="375" spans="1:7">
      <c r="A375" s="4">
        <v>408</v>
      </c>
      <c r="B375" s="4">
        <v>44</v>
      </c>
      <c r="C375" s="4">
        <v>8</v>
      </c>
      <c r="D375" s="66" t="s">
        <v>2557</v>
      </c>
      <c r="E375" s="4" t="s">
        <v>816</v>
      </c>
      <c r="F375">
        <f>VLOOKUP(B375,[1]Base!$A$8:$U$66,21,FALSE)</f>
        <v>5</v>
      </c>
      <c r="G375">
        <f t="shared" si="5"/>
        <v>508</v>
      </c>
    </row>
    <row r="376" spans="1:7">
      <c r="A376" s="4">
        <v>409</v>
      </c>
      <c r="B376" s="4">
        <v>44</v>
      </c>
      <c r="C376" s="4">
        <v>9</v>
      </c>
      <c r="D376" s="66" t="s">
        <v>1968</v>
      </c>
      <c r="E376" s="4" t="s">
        <v>817</v>
      </c>
      <c r="F376">
        <f>VLOOKUP(B376,[1]Base!$A$8:$U$66,21,FALSE)</f>
        <v>5</v>
      </c>
      <c r="G376">
        <f t="shared" si="5"/>
        <v>509</v>
      </c>
    </row>
    <row r="377" spans="1:7">
      <c r="A377" s="4">
        <v>410</v>
      </c>
      <c r="B377" s="4">
        <v>44</v>
      </c>
      <c r="C377" s="4">
        <v>10</v>
      </c>
      <c r="D377" s="66" t="s">
        <v>2558</v>
      </c>
      <c r="E377" s="4" t="s">
        <v>818</v>
      </c>
      <c r="F377">
        <f>VLOOKUP(B377,[1]Base!$A$8:$U$66,21,FALSE)</f>
        <v>5</v>
      </c>
      <c r="G377">
        <f t="shared" si="5"/>
        <v>510</v>
      </c>
    </row>
    <row r="378" spans="1:7">
      <c r="A378" s="4">
        <v>411</v>
      </c>
      <c r="B378" s="4">
        <v>45</v>
      </c>
      <c r="C378" s="4">
        <v>1</v>
      </c>
      <c r="D378" s="66" t="s">
        <v>1967</v>
      </c>
      <c r="E378" s="4" t="s">
        <v>979</v>
      </c>
      <c r="F378">
        <f>VLOOKUP(B378,[1]Base!$A$8:$U$66,21,FALSE)</f>
        <v>3</v>
      </c>
      <c r="G378">
        <f t="shared" si="5"/>
        <v>301</v>
      </c>
    </row>
    <row r="379" spans="1:7">
      <c r="A379" s="4">
        <v>412</v>
      </c>
      <c r="B379" s="4">
        <v>45</v>
      </c>
      <c r="C379" s="4">
        <v>2</v>
      </c>
      <c r="D379" s="66" t="s">
        <v>1045</v>
      </c>
      <c r="E379" s="4" t="s">
        <v>809</v>
      </c>
      <c r="F379">
        <f>VLOOKUP(B379,[1]Base!$A$8:$U$66,21,FALSE)</f>
        <v>3</v>
      </c>
      <c r="G379">
        <f t="shared" si="5"/>
        <v>302</v>
      </c>
    </row>
    <row r="380" spans="1:7">
      <c r="A380" s="4">
        <v>413</v>
      </c>
      <c r="B380">
        <v>45</v>
      </c>
      <c r="C380" s="4">
        <v>3</v>
      </c>
      <c r="D380" s="66" t="s">
        <v>1967</v>
      </c>
      <c r="E380" s="4" t="s">
        <v>810</v>
      </c>
      <c r="F380">
        <f>VLOOKUP(B380,[1]Base!$A$8:$U$66,21,FALSE)</f>
        <v>3</v>
      </c>
      <c r="G380">
        <f t="shared" si="5"/>
        <v>303</v>
      </c>
    </row>
    <row r="381" spans="1:7">
      <c r="A381" s="4">
        <v>414</v>
      </c>
      <c r="B381" s="4">
        <v>45</v>
      </c>
      <c r="C381" s="4">
        <v>4</v>
      </c>
      <c r="D381" s="66" t="s">
        <v>1045</v>
      </c>
      <c r="E381" s="4" t="s">
        <v>811</v>
      </c>
      <c r="F381">
        <f>VLOOKUP(B381,[1]Base!$A$8:$U$66,21,FALSE)</f>
        <v>3</v>
      </c>
      <c r="G381">
        <f t="shared" si="5"/>
        <v>304</v>
      </c>
    </row>
    <row r="382" spans="1:7">
      <c r="A382" s="4">
        <v>415</v>
      </c>
      <c r="B382" s="4">
        <v>45</v>
      </c>
      <c r="C382" s="4">
        <v>5</v>
      </c>
      <c r="D382" s="66" t="s">
        <v>1964</v>
      </c>
      <c r="E382" s="4" t="s">
        <v>812</v>
      </c>
      <c r="F382">
        <f>VLOOKUP(B382,[1]Base!$A$8:$U$66,21,FALSE)</f>
        <v>3</v>
      </c>
      <c r="G382">
        <f t="shared" si="5"/>
        <v>305</v>
      </c>
    </row>
    <row r="383" spans="1:7">
      <c r="A383" s="4">
        <v>416</v>
      </c>
      <c r="B383" s="4">
        <v>45</v>
      </c>
      <c r="C383" s="4">
        <v>6</v>
      </c>
      <c r="D383" s="66" t="s">
        <v>1046</v>
      </c>
      <c r="E383" s="4" t="s">
        <v>814</v>
      </c>
      <c r="F383">
        <f>VLOOKUP(B383,[1]Base!$A$8:$U$66,21,FALSE)</f>
        <v>3</v>
      </c>
      <c r="G383">
        <f t="shared" si="5"/>
        <v>306</v>
      </c>
    </row>
    <row r="384" spans="1:7">
      <c r="A384" s="4">
        <v>417</v>
      </c>
      <c r="B384" s="4">
        <v>45</v>
      </c>
      <c r="C384" s="4">
        <v>7</v>
      </c>
      <c r="D384" s="66" t="s">
        <v>1964</v>
      </c>
      <c r="E384" s="4" t="s">
        <v>815</v>
      </c>
      <c r="F384">
        <f>VLOOKUP(B384,[1]Base!$A$8:$U$66,21,FALSE)</f>
        <v>3</v>
      </c>
      <c r="G384">
        <f t="shared" si="5"/>
        <v>307</v>
      </c>
    </row>
    <row r="385" spans="1:7">
      <c r="A385" s="4">
        <v>418</v>
      </c>
      <c r="B385" s="4">
        <v>45</v>
      </c>
      <c r="C385" s="4">
        <v>8</v>
      </c>
      <c r="D385" s="66" t="s">
        <v>1042</v>
      </c>
      <c r="E385" s="4" t="s">
        <v>816</v>
      </c>
      <c r="F385">
        <f>VLOOKUP(B385,[1]Base!$A$8:$U$66,21,FALSE)</f>
        <v>3</v>
      </c>
      <c r="G385">
        <f t="shared" si="5"/>
        <v>308</v>
      </c>
    </row>
    <row r="386" spans="1:7">
      <c r="A386" s="4">
        <v>419</v>
      </c>
      <c r="B386" s="4">
        <v>45</v>
      </c>
      <c r="C386" s="4">
        <v>9</v>
      </c>
      <c r="D386" s="66" t="s">
        <v>1965</v>
      </c>
      <c r="E386" s="4" t="s">
        <v>817</v>
      </c>
      <c r="F386">
        <f>VLOOKUP(B386,[1]Base!$A$8:$U$66,21,FALSE)</f>
        <v>3</v>
      </c>
      <c r="G386">
        <f t="shared" si="5"/>
        <v>309</v>
      </c>
    </row>
    <row r="387" spans="1:7">
      <c r="A387" s="4">
        <v>420</v>
      </c>
      <c r="B387">
        <v>45</v>
      </c>
      <c r="C387" s="4">
        <v>10</v>
      </c>
      <c r="D387" s="66" t="s">
        <v>1047</v>
      </c>
      <c r="E387" s="4" t="s">
        <v>818</v>
      </c>
      <c r="F387">
        <f>VLOOKUP(B387,[1]Base!$A$8:$U$66,21,FALSE)</f>
        <v>3</v>
      </c>
      <c r="G387">
        <f t="shared" si="5"/>
        <v>310</v>
      </c>
    </row>
    <row r="388" spans="1:7">
      <c r="A388" s="4">
        <v>421</v>
      </c>
      <c r="B388" s="4">
        <v>46</v>
      </c>
      <c r="C388" s="4">
        <v>1</v>
      </c>
      <c r="D388" s="66" t="s">
        <v>1965</v>
      </c>
      <c r="E388" s="4" t="s">
        <v>979</v>
      </c>
      <c r="F388">
        <f>VLOOKUP(B388,[1]Base!$A$8:$U$66,21,FALSE)</f>
        <v>5</v>
      </c>
      <c r="G388">
        <f t="shared" si="5"/>
        <v>501</v>
      </c>
    </row>
    <row r="389" spans="1:7">
      <c r="A389" s="4">
        <v>422</v>
      </c>
      <c r="B389" s="4">
        <v>46</v>
      </c>
      <c r="C389" s="4">
        <v>2</v>
      </c>
      <c r="D389" s="66" t="s">
        <v>2555</v>
      </c>
      <c r="E389" s="4" t="s">
        <v>809</v>
      </c>
      <c r="F389">
        <f>VLOOKUP(B389,[1]Base!$A$8:$U$66,21,FALSE)</f>
        <v>5</v>
      </c>
      <c r="G389">
        <f t="shared" si="5"/>
        <v>502</v>
      </c>
    </row>
    <row r="390" spans="1:7">
      <c r="A390" s="4">
        <v>423</v>
      </c>
      <c r="B390" s="4">
        <v>46</v>
      </c>
      <c r="C390" s="4">
        <v>3</v>
      </c>
      <c r="D390" s="66" t="s">
        <v>1965</v>
      </c>
      <c r="E390" s="4" t="s">
        <v>810</v>
      </c>
      <c r="F390">
        <f>VLOOKUP(B390,[1]Base!$A$8:$U$66,21,FALSE)</f>
        <v>5</v>
      </c>
      <c r="G390">
        <f t="shared" si="5"/>
        <v>503</v>
      </c>
    </row>
    <row r="391" spans="1:7">
      <c r="A391" s="4">
        <v>424</v>
      </c>
      <c r="B391" s="4">
        <v>46</v>
      </c>
      <c r="C391" s="4">
        <v>4</v>
      </c>
      <c r="D391" s="66" t="s">
        <v>2556</v>
      </c>
      <c r="E391" s="4" t="s">
        <v>811</v>
      </c>
      <c r="F391">
        <f>VLOOKUP(B391,[1]Base!$A$8:$U$66,21,FALSE)</f>
        <v>5</v>
      </c>
      <c r="G391">
        <f t="shared" si="5"/>
        <v>504</v>
      </c>
    </row>
    <row r="392" spans="1:7">
      <c r="A392" s="4">
        <v>425</v>
      </c>
      <c r="B392" s="4">
        <v>46</v>
      </c>
      <c r="C392" s="4">
        <v>5</v>
      </c>
      <c r="D392" s="66" t="s">
        <v>1966</v>
      </c>
      <c r="E392" s="4" t="s">
        <v>812</v>
      </c>
      <c r="F392">
        <f>VLOOKUP(B392,[1]Base!$A$8:$U$66,21,FALSE)</f>
        <v>5</v>
      </c>
      <c r="G392">
        <f t="shared" si="5"/>
        <v>505</v>
      </c>
    </row>
    <row r="393" spans="1:7">
      <c r="A393" s="4">
        <v>426</v>
      </c>
      <c r="B393" s="4">
        <v>46</v>
      </c>
      <c r="C393" s="4">
        <v>6</v>
      </c>
      <c r="D393" s="66" t="s">
        <v>2556</v>
      </c>
      <c r="E393" s="4" t="s">
        <v>814</v>
      </c>
      <c r="F393">
        <f>VLOOKUP(B393,[1]Base!$A$8:$U$66,21,FALSE)</f>
        <v>5</v>
      </c>
      <c r="G393">
        <f t="shared" ref="G393:G456" si="6">F393*100+C393</f>
        <v>506</v>
      </c>
    </row>
    <row r="394" spans="1:7">
      <c r="A394" s="4">
        <v>427</v>
      </c>
      <c r="B394" s="4">
        <v>46</v>
      </c>
      <c r="C394" s="4">
        <v>7</v>
      </c>
      <c r="D394" s="66" t="s">
        <v>1966</v>
      </c>
      <c r="E394" s="4" t="s">
        <v>815</v>
      </c>
      <c r="F394">
        <f>VLOOKUP(B394,[1]Base!$A$8:$U$66,21,FALSE)</f>
        <v>5</v>
      </c>
      <c r="G394">
        <f t="shared" si="6"/>
        <v>507</v>
      </c>
    </row>
    <row r="395" spans="1:7">
      <c r="A395" s="4">
        <v>428</v>
      </c>
      <c r="B395" s="4">
        <v>46</v>
      </c>
      <c r="C395" s="4">
        <v>8</v>
      </c>
      <c r="D395" s="66" t="s">
        <v>2557</v>
      </c>
      <c r="E395" s="4" t="s">
        <v>816</v>
      </c>
      <c r="F395">
        <f>VLOOKUP(B395,[1]Base!$A$8:$U$66,21,FALSE)</f>
        <v>5</v>
      </c>
      <c r="G395">
        <f t="shared" si="6"/>
        <v>508</v>
      </c>
    </row>
    <row r="396" spans="1:7">
      <c r="A396" s="4">
        <v>429</v>
      </c>
      <c r="B396" s="4">
        <v>46</v>
      </c>
      <c r="C396" s="4">
        <v>9</v>
      </c>
      <c r="D396" s="66" t="s">
        <v>1968</v>
      </c>
      <c r="E396" s="4" t="s">
        <v>817</v>
      </c>
      <c r="F396">
        <f>VLOOKUP(B396,[1]Base!$A$8:$U$66,21,FALSE)</f>
        <v>5</v>
      </c>
      <c r="G396">
        <f t="shared" si="6"/>
        <v>509</v>
      </c>
    </row>
    <row r="397" spans="1:7">
      <c r="A397" s="4">
        <v>430</v>
      </c>
      <c r="B397" s="4">
        <v>46</v>
      </c>
      <c r="C397" s="4">
        <v>10</v>
      </c>
      <c r="D397" s="66" t="s">
        <v>2558</v>
      </c>
      <c r="E397" s="4" t="s">
        <v>818</v>
      </c>
      <c r="F397">
        <f>VLOOKUP(B397,[1]Base!$A$8:$U$66,21,FALSE)</f>
        <v>5</v>
      </c>
      <c r="G397">
        <f t="shared" si="6"/>
        <v>510</v>
      </c>
    </row>
    <row r="398" spans="1:7">
      <c r="A398" s="4">
        <v>431</v>
      </c>
      <c r="B398" s="4">
        <v>47</v>
      </c>
      <c r="C398" s="4">
        <v>1</v>
      </c>
      <c r="D398" s="66" t="s">
        <v>1965</v>
      </c>
      <c r="E398" s="4" t="s">
        <v>979</v>
      </c>
      <c r="F398">
        <f>VLOOKUP(B398,[1]Base!$A$8:$U$66,21,FALSE)</f>
        <v>5</v>
      </c>
      <c r="G398">
        <f t="shared" si="6"/>
        <v>501</v>
      </c>
    </row>
    <row r="399" spans="1:7">
      <c r="A399" s="4">
        <v>432</v>
      </c>
      <c r="B399" s="4">
        <v>47</v>
      </c>
      <c r="C399" s="4">
        <v>2</v>
      </c>
      <c r="D399" s="66" t="s">
        <v>2555</v>
      </c>
      <c r="E399" s="4" t="s">
        <v>809</v>
      </c>
      <c r="F399">
        <f>VLOOKUP(B399,[1]Base!$A$8:$U$66,21,FALSE)</f>
        <v>5</v>
      </c>
      <c r="G399">
        <f t="shared" si="6"/>
        <v>502</v>
      </c>
    </row>
    <row r="400" spans="1:7">
      <c r="A400" s="4">
        <v>433</v>
      </c>
      <c r="B400">
        <v>47</v>
      </c>
      <c r="C400" s="4">
        <v>3</v>
      </c>
      <c r="D400" s="66" t="s">
        <v>1965</v>
      </c>
      <c r="E400" s="4" t="s">
        <v>810</v>
      </c>
      <c r="F400">
        <f>VLOOKUP(B400,[1]Base!$A$8:$U$66,21,FALSE)</f>
        <v>5</v>
      </c>
      <c r="G400">
        <f t="shared" si="6"/>
        <v>503</v>
      </c>
    </row>
    <row r="401" spans="1:7">
      <c r="A401" s="4">
        <v>434</v>
      </c>
      <c r="B401">
        <v>47</v>
      </c>
      <c r="C401" s="4">
        <v>4</v>
      </c>
      <c r="D401" s="66" t="s">
        <v>2556</v>
      </c>
      <c r="E401" s="4" t="s">
        <v>811</v>
      </c>
      <c r="F401">
        <f>VLOOKUP(B401,[1]Base!$A$8:$U$66,21,FALSE)</f>
        <v>5</v>
      </c>
      <c r="G401">
        <f t="shared" si="6"/>
        <v>504</v>
      </c>
    </row>
    <row r="402" spans="1:7">
      <c r="A402" s="4">
        <v>435</v>
      </c>
      <c r="B402" s="4">
        <v>47</v>
      </c>
      <c r="C402" s="4">
        <v>5</v>
      </c>
      <c r="D402" s="66" t="s">
        <v>1966</v>
      </c>
      <c r="E402" s="4" t="s">
        <v>812</v>
      </c>
      <c r="F402">
        <f>VLOOKUP(B402,[1]Base!$A$8:$U$66,21,FALSE)</f>
        <v>5</v>
      </c>
      <c r="G402">
        <f t="shared" si="6"/>
        <v>505</v>
      </c>
    </row>
    <row r="403" spans="1:7">
      <c r="A403" s="4">
        <v>436</v>
      </c>
      <c r="B403" s="4">
        <v>47</v>
      </c>
      <c r="C403" s="4">
        <v>6</v>
      </c>
      <c r="D403" s="66" t="s">
        <v>2556</v>
      </c>
      <c r="E403" s="4" t="s">
        <v>814</v>
      </c>
      <c r="F403">
        <f>VLOOKUP(B403,[1]Base!$A$8:$U$66,21,FALSE)</f>
        <v>5</v>
      </c>
      <c r="G403">
        <f t="shared" si="6"/>
        <v>506</v>
      </c>
    </row>
    <row r="404" spans="1:7">
      <c r="A404" s="4">
        <v>437</v>
      </c>
      <c r="B404" s="4">
        <v>47</v>
      </c>
      <c r="C404" s="4">
        <v>7</v>
      </c>
      <c r="D404" s="66" t="s">
        <v>1966</v>
      </c>
      <c r="E404" s="4" t="s">
        <v>815</v>
      </c>
      <c r="F404">
        <f>VLOOKUP(B404,[1]Base!$A$8:$U$66,21,FALSE)</f>
        <v>5</v>
      </c>
      <c r="G404">
        <f t="shared" si="6"/>
        <v>507</v>
      </c>
    </row>
    <row r="405" spans="1:7">
      <c r="A405" s="4">
        <v>438</v>
      </c>
      <c r="B405" s="4">
        <v>47</v>
      </c>
      <c r="C405" s="4">
        <v>8</v>
      </c>
      <c r="D405" s="66" t="s">
        <v>2557</v>
      </c>
      <c r="E405" s="4" t="s">
        <v>816</v>
      </c>
      <c r="F405">
        <f>VLOOKUP(B405,[1]Base!$A$8:$U$66,21,FALSE)</f>
        <v>5</v>
      </c>
      <c r="G405">
        <f t="shared" si="6"/>
        <v>508</v>
      </c>
    </row>
    <row r="406" spans="1:7">
      <c r="A406" s="4">
        <v>439</v>
      </c>
      <c r="B406" s="4">
        <v>47</v>
      </c>
      <c r="C406" s="4">
        <v>9</v>
      </c>
      <c r="D406" s="66" t="s">
        <v>1968</v>
      </c>
      <c r="E406" s="4" t="s">
        <v>817</v>
      </c>
      <c r="F406">
        <f>VLOOKUP(B406,[1]Base!$A$8:$U$66,21,FALSE)</f>
        <v>5</v>
      </c>
      <c r="G406">
        <f t="shared" si="6"/>
        <v>509</v>
      </c>
    </row>
    <row r="407" spans="1:7">
      <c r="A407" s="4">
        <v>440</v>
      </c>
      <c r="B407" s="4">
        <v>47</v>
      </c>
      <c r="C407" s="4">
        <v>10</v>
      </c>
      <c r="D407" s="66" t="s">
        <v>2558</v>
      </c>
      <c r="E407" s="4" t="s">
        <v>818</v>
      </c>
      <c r="F407">
        <f>VLOOKUP(B407,[1]Base!$A$8:$U$66,21,FALSE)</f>
        <v>5</v>
      </c>
      <c r="G407">
        <f t="shared" si="6"/>
        <v>510</v>
      </c>
    </row>
    <row r="408" spans="1:7">
      <c r="A408" s="4">
        <v>441</v>
      </c>
      <c r="B408" s="4">
        <v>48</v>
      </c>
      <c r="C408" s="4">
        <v>1</v>
      </c>
      <c r="D408" s="66" t="s">
        <v>1965</v>
      </c>
      <c r="E408" s="4" t="s">
        <v>979</v>
      </c>
      <c r="F408">
        <f>VLOOKUP(B408,[1]Base!$A$8:$U$66,21,FALSE)</f>
        <v>5</v>
      </c>
      <c r="G408">
        <f t="shared" si="6"/>
        <v>501</v>
      </c>
    </row>
    <row r="409" spans="1:7">
      <c r="A409" s="4">
        <v>442</v>
      </c>
      <c r="B409">
        <v>48</v>
      </c>
      <c r="C409" s="4">
        <v>2</v>
      </c>
      <c r="D409" s="66" t="s">
        <v>2555</v>
      </c>
      <c r="E409" s="4" t="s">
        <v>809</v>
      </c>
      <c r="F409">
        <f>VLOOKUP(B409,[1]Base!$A$8:$U$66,21,FALSE)</f>
        <v>5</v>
      </c>
      <c r="G409">
        <f t="shared" si="6"/>
        <v>502</v>
      </c>
    </row>
    <row r="410" spans="1:7">
      <c r="A410" s="4">
        <v>443</v>
      </c>
      <c r="B410" s="4">
        <v>48</v>
      </c>
      <c r="C410" s="4">
        <v>3</v>
      </c>
      <c r="D410" s="66" t="s">
        <v>1965</v>
      </c>
      <c r="E410" s="4" t="s">
        <v>810</v>
      </c>
      <c r="F410">
        <f>VLOOKUP(B410,[1]Base!$A$8:$U$66,21,FALSE)</f>
        <v>5</v>
      </c>
      <c r="G410">
        <f t="shared" si="6"/>
        <v>503</v>
      </c>
    </row>
    <row r="411" spans="1:7">
      <c r="A411" s="4">
        <v>444</v>
      </c>
      <c r="B411" s="4">
        <v>48</v>
      </c>
      <c r="C411" s="4">
        <v>4</v>
      </c>
      <c r="D411" s="66" t="s">
        <v>2556</v>
      </c>
      <c r="E411" s="4" t="s">
        <v>811</v>
      </c>
      <c r="F411">
        <f>VLOOKUP(B411,[1]Base!$A$8:$U$66,21,FALSE)</f>
        <v>5</v>
      </c>
      <c r="G411">
        <f t="shared" si="6"/>
        <v>504</v>
      </c>
    </row>
    <row r="412" spans="1:7">
      <c r="A412" s="4">
        <v>445</v>
      </c>
      <c r="B412" s="4">
        <v>48</v>
      </c>
      <c r="C412" s="4">
        <v>5</v>
      </c>
      <c r="D412" s="66" t="s">
        <v>1966</v>
      </c>
      <c r="E412" s="4" t="s">
        <v>812</v>
      </c>
      <c r="F412">
        <f>VLOOKUP(B412,[1]Base!$A$8:$U$66,21,FALSE)</f>
        <v>5</v>
      </c>
      <c r="G412">
        <f t="shared" si="6"/>
        <v>505</v>
      </c>
    </row>
    <row r="413" spans="1:7">
      <c r="A413" s="4">
        <v>446</v>
      </c>
      <c r="B413" s="4">
        <v>48</v>
      </c>
      <c r="C413" s="4">
        <v>6</v>
      </c>
      <c r="D413" s="66" t="s">
        <v>2556</v>
      </c>
      <c r="E413" s="4" t="s">
        <v>814</v>
      </c>
      <c r="F413">
        <f>VLOOKUP(B413,[1]Base!$A$8:$U$66,21,FALSE)</f>
        <v>5</v>
      </c>
      <c r="G413">
        <f t="shared" si="6"/>
        <v>506</v>
      </c>
    </row>
    <row r="414" spans="1:7">
      <c r="A414" s="4">
        <v>447</v>
      </c>
      <c r="B414" s="4">
        <v>48</v>
      </c>
      <c r="C414" s="4">
        <v>7</v>
      </c>
      <c r="D414" s="66" t="s">
        <v>1966</v>
      </c>
      <c r="E414" s="4" t="s">
        <v>815</v>
      </c>
      <c r="F414">
        <f>VLOOKUP(B414,[1]Base!$A$8:$U$66,21,FALSE)</f>
        <v>5</v>
      </c>
      <c r="G414">
        <f t="shared" si="6"/>
        <v>507</v>
      </c>
    </row>
    <row r="415" spans="1:7">
      <c r="A415" s="4">
        <v>448</v>
      </c>
      <c r="B415" s="4">
        <v>48</v>
      </c>
      <c r="C415" s="4">
        <v>8</v>
      </c>
      <c r="D415" s="66" t="s">
        <v>2557</v>
      </c>
      <c r="E415" s="4" t="s">
        <v>816</v>
      </c>
      <c r="F415">
        <f>VLOOKUP(B415,[1]Base!$A$8:$U$66,21,FALSE)</f>
        <v>5</v>
      </c>
      <c r="G415">
        <f t="shared" si="6"/>
        <v>508</v>
      </c>
    </row>
    <row r="416" spans="1:7">
      <c r="A416" s="4">
        <v>449</v>
      </c>
      <c r="B416">
        <v>48</v>
      </c>
      <c r="C416" s="4">
        <v>9</v>
      </c>
      <c r="D416" s="66" t="s">
        <v>1968</v>
      </c>
      <c r="E416" s="4" t="s">
        <v>817</v>
      </c>
      <c r="F416">
        <f>VLOOKUP(B416,[1]Base!$A$8:$U$66,21,FALSE)</f>
        <v>5</v>
      </c>
      <c r="G416">
        <f t="shared" si="6"/>
        <v>509</v>
      </c>
    </row>
    <row r="417" spans="1:7">
      <c r="A417" s="4">
        <v>450</v>
      </c>
      <c r="B417" s="4">
        <v>48</v>
      </c>
      <c r="C417" s="4">
        <v>10</v>
      </c>
      <c r="D417" s="66" t="s">
        <v>2558</v>
      </c>
      <c r="E417" s="4" t="s">
        <v>818</v>
      </c>
      <c r="F417">
        <f>VLOOKUP(B417,[1]Base!$A$8:$U$66,21,FALSE)</f>
        <v>5</v>
      </c>
      <c r="G417">
        <f t="shared" si="6"/>
        <v>510</v>
      </c>
    </row>
    <row r="418" spans="1:7">
      <c r="A418" s="4">
        <v>451</v>
      </c>
      <c r="B418" s="4">
        <v>49</v>
      </c>
      <c r="C418" s="4">
        <v>1</v>
      </c>
      <c r="D418" s="66" t="s">
        <v>1964</v>
      </c>
      <c r="E418" s="4" t="s">
        <v>979</v>
      </c>
      <c r="F418">
        <f>VLOOKUP(B418,[1]Base!$A$8:$U$66,21,FALSE)</f>
        <v>4</v>
      </c>
      <c r="G418">
        <f t="shared" si="6"/>
        <v>401</v>
      </c>
    </row>
    <row r="419" spans="1:7">
      <c r="A419" s="4">
        <v>452</v>
      </c>
      <c r="B419" s="4">
        <v>49</v>
      </c>
      <c r="C419" s="4">
        <v>2</v>
      </c>
      <c r="D419" s="66" t="s">
        <v>1041</v>
      </c>
      <c r="E419" s="4" t="s">
        <v>809</v>
      </c>
      <c r="F419">
        <f>VLOOKUP(B419,[1]Base!$A$8:$U$66,21,FALSE)</f>
        <v>4</v>
      </c>
      <c r="G419">
        <f t="shared" si="6"/>
        <v>402</v>
      </c>
    </row>
    <row r="420" spans="1:7">
      <c r="A420" s="4">
        <v>453</v>
      </c>
      <c r="B420" s="4">
        <v>49</v>
      </c>
      <c r="C420" s="4">
        <v>3</v>
      </c>
      <c r="D420" s="66" t="s">
        <v>1964</v>
      </c>
      <c r="E420" s="4" t="s">
        <v>810</v>
      </c>
      <c r="F420">
        <f>VLOOKUP(B420,[1]Base!$A$8:$U$66,21,FALSE)</f>
        <v>4</v>
      </c>
      <c r="G420">
        <f t="shared" si="6"/>
        <v>403</v>
      </c>
    </row>
    <row r="421" spans="1:7">
      <c r="A421" s="4">
        <v>454</v>
      </c>
      <c r="B421" s="4">
        <v>49</v>
      </c>
      <c r="C421" s="4">
        <v>4</v>
      </c>
      <c r="D421" s="66" t="s">
        <v>1041</v>
      </c>
      <c r="E421" s="4" t="s">
        <v>811</v>
      </c>
      <c r="F421">
        <f>VLOOKUP(B421,[1]Base!$A$8:$U$66,21,FALSE)</f>
        <v>4</v>
      </c>
      <c r="G421">
        <f t="shared" si="6"/>
        <v>404</v>
      </c>
    </row>
    <row r="422" spans="1:7">
      <c r="A422" s="4">
        <v>455</v>
      </c>
      <c r="B422" s="4">
        <v>49</v>
      </c>
      <c r="C422" s="4">
        <v>5</v>
      </c>
      <c r="D422" s="66" t="s">
        <v>1965</v>
      </c>
      <c r="E422" s="4" t="s">
        <v>812</v>
      </c>
      <c r="F422">
        <f>VLOOKUP(B422,[1]Base!$A$8:$U$66,21,FALSE)</f>
        <v>4</v>
      </c>
      <c r="G422">
        <f t="shared" si="6"/>
        <v>405</v>
      </c>
    </row>
    <row r="423" spans="1:7">
      <c r="A423" s="4">
        <v>456</v>
      </c>
      <c r="B423" s="4">
        <v>49</v>
      </c>
      <c r="C423" s="4">
        <v>6</v>
      </c>
      <c r="D423" s="66" t="s">
        <v>1042</v>
      </c>
      <c r="E423" s="4" t="s">
        <v>814</v>
      </c>
      <c r="F423">
        <f>VLOOKUP(B423,[1]Base!$A$8:$U$66,21,FALSE)</f>
        <v>4</v>
      </c>
      <c r="G423">
        <f t="shared" si="6"/>
        <v>406</v>
      </c>
    </row>
    <row r="424" spans="1:7">
      <c r="A424" s="4">
        <v>457</v>
      </c>
      <c r="B424">
        <v>49</v>
      </c>
      <c r="C424" s="4">
        <v>7</v>
      </c>
      <c r="D424" s="66" t="s">
        <v>1965</v>
      </c>
      <c r="E424" s="4" t="s">
        <v>815</v>
      </c>
      <c r="F424">
        <f>VLOOKUP(B424,[1]Base!$A$8:$U$66,21,FALSE)</f>
        <v>4</v>
      </c>
      <c r="G424">
        <f t="shared" si="6"/>
        <v>407</v>
      </c>
    </row>
    <row r="425" spans="1:7">
      <c r="A425" s="4">
        <v>458</v>
      </c>
      <c r="B425" s="4">
        <v>49</v>
      </c>
      <c r="C425" s="4">
        <v>8</v>
      </c>
      <c r="D425" s="66" t="s">
        <v>1043</v>
      </c>
      <c r="E425" s="4" t="s">
        <v>816</v>
      </c>
      <c r="F425">
        <f>VLOOKUP(B425,[1]Base!$A$8:$U$66,21,FALSE)</f>
        <v>4</v>
      </c>
      <c r="G425">
        <f t="shared" si="6"/>
        <v>408</v>
      </c>
    </row>
    <row r="426" spans="1:7">
      <c r="A426" s="4">
        <v>459</v>
      </c>
      <c r="B426" s="4">
        <v>49</v>
      </c>
      <c r="C426" s="4">
        <v>9</v>
      </c>
      <c r="D426" s="66" t="s">
        <v>1966</v>
      </c>
      <c r="E426" s="4" t="s">
        <v>817</v>
      </c>
      <c r="F426">
        <f>VLOOKUP(B426,[1]Base!$A$8:$U$66,21,FALSE)</f>
        <v>4</v>
      </c>
      <c r="G426">
        <f t="shared" si="6"/>
        <v>409</v>
      </c>
    </row>
    <row r="427" spans="1:7">
      <c r="A427" s="4">
        <v>460</v>
      </c>
      <c r="B427" s="4">
        <v>49</v>
      </c>
      <c r="C427" s="4">
        <v>10</v>
      </c>
      <c r="D427" s="66" t="s">
        <v>1044</v>
      </c>
      <c r="E427" s="4" t="s">
        <v>818</v>
      </c>
      <c r="F427">
        <f>VLOOKUP(B427,[1]Base!$A$8:$U$66,21,FALSE)</f>
        <v>4</v>
      </c>
      <c r="G427">
        <f t="shared" si="6"/>
        <v>410</v>
      </c>
    </row>
    <row r="428" spans="1:7">
      <c r="A428" s="4">
        <v>461</v>
      </c>
      <c r="B428" s="4">
        <v>51</v>
      </c>
      <c r="C428" s="4">
        <v>1</v>
      </c>
      <c r="D428" s="66" t="s">
        <v>1965</v>
      </c>
      <c r="E428" s="4" t="s">
        <v>979</v>
      </c>
      <c r="F428">
        <f>VLOOKUP(B428,[1]Base!$A$8:$U$66,21,FALSE)</f>
        <v>5</v>
      </c>
      <c r="G428">
        <f t="shared" si="6"/>
        <v>501</v>
      </c>
    </row>
    <row r="429" spans="1:7">
      <c r="A429" s="4">
        <v>462</v>
      </c>
      <c r="B429" s="4">
        <v>51</v>
      </c>
      <c r="C429" s="4">
        <v>2</v>
      </c>
      <c r="D429" s="66" t="s">
        <v>2555</v>
      </c>
      <c r="E429" s="4" t="s">
        <v>809</v>
      </c>
      <c r="F429">
        <f>VLOOKUP(B429,[1]Base!$A$8:$U$66,21,FALSE)</f>
        <v>5</v>
      </c>
      <c r="G429">
        <f t="shared" si="6"/>
        <v>502</v>
      </c>
    </row>
    <row r="430" spans="1:7">
      <c r="A430" s="4">
        <v>463</v>
      </c>
      <c r="B430" s="4">
        <v>51</v>
      </c>
      <c r="C430" s="4">
        <v>3</v>
      </c>
      <c r="D430" s="66" t="s">
        <v>1965</v>
      </c>
      <c r="E430" s="4" t="s">
        <v>810</v>
      </c>
      <c r="F430">
        <f>VLOOKUP(B430,[1]Base!$A$8:$U$66,21,FALSE)</f>
        <v>5</v>
      </c>
      <c r="G430">
        <f t="shared" si="6"/>
        <v>503</v>
      </c>
    </row>
    <row r="431" spans="1:7">
      <c r="A431" s="4">
        <v>464</v>
      </c>
      <c r="B431">
        <v>51</v>
      </c>
      <c r="C431" s="4">
        <v>4</v>
      </c>
      <c r="D431" s="66" t="s">
        <v>2556</v>
      </c>
      <c r="E431" s="4" t="s">
        <v>811</v>
      </c>
      <c r="F431">
        <f>VLOOKUP(B431,[1]Base!$A$8:$U$66,21,FALSE)</f>
        <v>5</v>
      </c>
      <c r="G431">
        <f t="shared" si="6"/>
        <v>504</v>
      </c>
    </row>
    <row r="432" spans="1:7">
      <c r="A432" s="4">
        <v>465</v>
      </c>
      <c r="B432" s="4">
        <v>51</v>
      </c>
      <c r="C432" s="4">
        <v>5</v>
      </c>
      <c r="D432" s="66" t="s">
        <v>1966</v>
      </c>
      <c r="E432" s="4" t="s">
        <v>812</v>
      </c>
      <c r="F432">
        <f>VLOOKUP(B432,[1]Base!$A$8:$U$66,21,FALSE)</f>
        <v>5</v>
      </c>
      <c r="G432">
        <f t="shared" si="6"/>
        <v>505</v>
      </c>
    </row>
    <row r="433" spans="1:7">
      <c r="A433" s="4">
        <v>466</v>
      </c>
      <c r="B433" s="4">
        <v>51</v>
      </c>
      <c r="C433" s="4">
        <v>6</v>
      </c>
      <c r="D433" s="66" t="s">
        <v>2556</v>
      </c>
      <c r="E433" s="4" t="s">
        <v>814</v>
      </c>
      <c r="F433">
        <f>VLOOKUP(B433,[1]Base!$A$8:$U$66,21,FALSE)</f>
        <v>5</v>
      </c>
      <c r="G433">
        <f t="shared" si="6"/>
        <v>506</v>
      </c>
    </row>
    <row r="434" spans="1:7">
      <c r="A434" s="4">
        <v>467</v>
      </c>
      <c r="B434" s="4">
        <v>51</v>
      </c>
      <c r="C434" s="4">
        <v>7</v>
      </c>
      <c r="D434" s="66" t="s">
        <v>1966</v>
      </c>
      <c r="E434" s="4" t="s">
        <v>815</v>
      </c>
      <c r="F434">
        <f>VLOOKUP(B434,[1]Base!$A$8:$U$66,21,FALSE)</f>
        <v>5</v>
      </c>
      <c r="G434">
        <f t="shared" si="6"/>
        <v>507</v>
      </c>
    </row>
    <row r="435" spans="1:7">
      <c r="A435" s="4">
        <v>468</v>
      </c>
      <c r="B435" s="4">
        <v>51</v>
      </c>
      <c r="C435" s="4">
        <v>8</v>
      </c>
      <c r="D435" s="66" t="s">
        <v>2557</v>
      </c>
      <c r="E435" s="4" t="s">
        <v>816</v>
      </c>
      <c r="F435">
        <f>VLOOKUP(B435,[1]Base!$A$8:$U$66,21,FALSE)</f>
        <v>5</v>
      </c>
      <c r="G435">
        <f t="shared" si="6"/>
        <v>508</v>
      </c>
    </row>
    <row r="436" spans="1:7">
      <c r="A436" s="4">
        <v>469</v>
      </c>
      <c r="B436" s="4">
        <v>51</v>
      </c>
      <c r="C436" s="4">
        <v>9</v>
      </c>
      <c r="D436" s="66" t="s">
        <v>1968</v>
      </c>
      <c r="E436" s="4" t="s">
        <v>817</v>
      </c>
      <c r="F436">
        <f>VLOOKUP(B436,[1]Base!$A$8:$U$66,21,FALSE)</f>
        <v>5</v>
      </c>
      <c r="G436">
        <f t="shared" si="6"/>
        <v>509</v>
      </c>
    </row>
    <row r="437" spans="1:7">
      <c r="A437" s="4">
        <v>470</v>
      </c>
      <c r="B437" s="4">
        <v>51</v>
      </c>
      <c r="C437" s="4">
        <v>10</v>
      </c>
      <c r="D437" s="66" t="s">
        <v>2558</v>
      </c>
      <c r="E437" s="4" t="s">
        <v>818</v>
      </c>
      <c r="F437">
        <f>VLOOKUP(B437,[1]Base!$A$8:$U$66,21,FALSE)</f>
        <v>5</v>
      </c>
      <c r="G437">
        <f t="shared" si="6"/>
        <v>510</v>
      </c>
    </row>
    <row r="438" spans="1:7">
      <c r="A438" s="4">
        <v>471</v>
      </c>
      <c r="B438" s="4">
        <v>52</v>
      </c>
      <c r="C438" s="4">
        <v>1</v>
      </c>
      <c r="D438" s="66" t="s">
        <v>1965</v>
      </c>
      <c r="E438" s="4" t="s">
        <v>979</v>
      </c>
      <c r="F438">
        <f>VLOOKUP(B438,[1]Base!$A$8:$U$66,21,FALSE)</f>
        <v>5</v>
      </c>
      <c r="G438">
        <f t="shared" si="6"/>
        <v>501</v>
      </c>
    </row>
    <row r="439" spans="1:7">
      <c r="A439" s="4">
        <v>472</v>
      </c>
      <c r="B439" s="4">
        <v>52</v>
      </c>
      <c r="C439" s="4">
        <v>2</v>
      </c>
      <c r="D439" s="66" t="s">
        <v>2555</v>
      </c>
      <c r="E439" s="4" t="s">
        <v>809</v>
      </c>
      <c r="F439">
        <f>VLOOKUP(B439,[1]Base!$A$8:$U$66,21,FALSE)</f>
        <v>5</v>
      </c>
      <c r="G439">
        <f t="shared" si="6"/>
        <v>502</v>
      </c>
    </row>
    <row r="440" spans="1:7">
      <c r="A440" s="4">
        <v>473</v>
      </c>
      <c r="B440" s="4">
        <v>52</v>
      </c>
      <c r="C440" s="4">
        <v>3</v>
      </c>
      <c r="D440" s="66" t="s">
        <v>1965</v>
      </c>
      <c r="E440" s="4" t="s">
        <v>810</v>
      </c>
      <c r="F440">
        <f>VLOOKUP(B440,[1]Base!$A$8:$U$66,21,FALSE)</f>
        <v>5</v>
      </c>
      <c r="G440">
        <f t="shared" si="6"/>
        <v>503</v>
      </c>
    </row>
    <row r="441" spans="1:7">
      <c r="A441" s="4">
        <v>474</v>
      </c>
      <c r="B441" s="4">
        <v>52</v>
      </c>
      <c r="C441" s="4">
        <v>4</v>
      </c>
      <c r="D441" s="66" t="s">
        <v>2556</v>
      </c>
      <c r="E441" s="4" t="s">
        <v>811</v>
      </c>
      <c r="F441">
        <f>VLOOKUP(B441,[1]Base!$A$8:$U$66,21,FALSE)</f>
        <v>5</v>
      </c>
      <c r="G441">
        <f t="shared" si="6"/>
        <v>504</v>
      </c>
    </row>
    <row r="442" spans="1:7">
      <c r="A442" s="4">
        <v>475</v>
      </c>
      <c r="B442" s="4">
        <v>52</v>
      </c>
      <c r="C442" s="4">
        <v>5</v>
      </c>
      <c r="D442" s="66" t="s">
        <v>1966</v>
      </c>
      <c r="E442" s="4" t="s">
        <v>812</v>
      </c>
      <c r="F442">
        <f>VLOOKUP(B442,[1]Base!$A$8:$U$66,21,FALSE)</f>
        <v>5</v>
      </c>
      <c r="G442">
        <f t="shared" si="6"/>
        <v>505</v>
      </c>
    </row>
    <row r="443" spans="1:7">
      <c r="A443" s="4">
        <v>476</v>
      </c>
      <c r="B443" s="4">
        <v>52</v>
      </c>
      <c r="C443" s="4">
        <v>6</v>
      </c>
      <c r="D443" s="66" t="s">
        <v>2556</v>
      </c>
      <c r="E443" s="4" t="s">
        <v>814</v>
      </c>
      <c r="F443">
        <f>VLOOKUP(B443,[1]Base!$A$8:$U$66,21,FALSE)</f>
        <v>5</v>
      </c>
      <c r="G443">
        <f t="shared" si="6"/>
        <v>506</v>
      </c>
    </row>
    <row r="444" spans="1:7">
      <c r="A444" s="4">
        <v>477</v>
      </c>
      <c r="B444" s="4">
        <v>52</v>
      </c>
      <c r="C444" s="4">
        <v>7</v>
      </c>
      <c r="D444" s="66" t="s">
        <v>1966</v>
      </c>
      <c r="E444" s="4" t="s">
        <v>815</v>
      </c>
      <c r="F444">
        <f>VLOOKUP(B444,[1]Base!$A$8:$U$66,21,FALSE)</f>
        <v>5</v>
      </c>
      <c r="G444">
        <f t="shared" si="6"/>
        <v>507</v>
      </c>
    </row>
    <row r="445" spans="1:7">
      <c r="A445" s="4">
        <v>478</v>
      </c>
      <c r="B445" s="4">
        <v>52</v>
      </c>
      <c r="C445" s="4">
        <v>8</v>
      </c>
      <c r="D445" s="66" t="s">
        <v>2557</v>
      </c>
      <c r="E445" s="4" t="s">
        <v>816</v>
      </c>
      <c r="F445">
        <f>VLOOKUP(B445,[1]Base!$A$8:$U$66,21,FALSE)</f>
        <v>5</v>
      </c>
      <c r="G445">
        <f t="shared" si="6"/>
        <v>508</v>
      </c>
    </row>
    <row r="446" spans="1:7">
      <c r="A446" s="4">
        <v>479</v>
      </c>
      <c r="B446" s="4">
        <v>52</v>
      </c>
      <c r="C446" s="4">
        <v>9</v>
      </c>
      <c r="D446" s="66" t="s">
        <v>1968</v>
      </c>
      <c r="E446" s="4" t="s">
        <v>817</v>
      </c>
      <c r="F446">
        <f>VLOOKUP(B446,[1]Base!$A$8:$U$66,21,FALSE)</f>
        <v>5</v>
      </c>
      <c r="G446">
        <f t="shared" si="6"/>
        <v>509</v>
      </c>
    </row>
    <row r="447" spans="1:7">
      <c r="A447" s="4">
        <v>480</v>
      </c>
      <c r="B447" s="4">
        <v>52</v>
      </c>
      <c r="C447" s="4">
        <v>10</v>
      </c>
      <c r="D447" s="66" t="s">
        <v>2558</v>
      </c>
      <c r="E447" s="4" t="s">
        <v>818</v>
      </c>
      <c r="F447">
        <f>VLOOKUP(B447,[1]Base!$A$8:$U$66,21,FALSE)</f>
        <v>5</v>
      </c>
      <c r="G447">
        <f t="shared" si="6"/>
        <v>510</v>
      </c>
    </row>
    <row r="448" spans="1:7">
      <c r="A448" s="4">
        <v>481</v>
      </c>
      <c r="B448" s="4">
        <v>53</v>
      </c>
      <c r="C448" s="4">
        <v>1</v>
      </c>
      <c r="D448" s="66" t="s">
        <v>1965</v>
      </c>
      <c r="E448" s="4" t="s">
        <v>979</v>
      </c>
      <c r="F448">
        <f>VLOOKUP(B448,[1]Base!$A$8:$U$66,21,FALSE)</f>
        <v>5</v>
      </c>
      <c r="G448">
        <f t="shared" si="6"/>
        <v>501</v>
      </c>
    </row>
    <row r="449" spans="1:7">
      <c r="A449" s="4">
        <v>482</v>
      </c>
      <c r="B449" s="4">
        <v>53</v>
      </c>
      <c r="C449" s="4">
        <v>2</v>
      </c>
      <c r="D449" s="66" t="s">
        <v>2555</v>
      </c>
      <c r="E449" s="4" t="s">
        <v>809</v>
      </c>
      <c r="F449">
        <f>VLOOKUP(B449,[1]Base!$A$8:$U$66,21,FALSE)</f>
        <v>5</v>
      </c>
      <c r="G449">
        <f t="shared" si="6"/>
        <v>502</v>
      </c>
    </row>
    <row r="450" spans="1:7">
      <c r="A450" s="4">
        <v>483</v>
      </c>
      <c r="B450" s="4">
        <v>53</v>
      </c>
      <c r="C450" s="4">
        <v>3</v>
      </c>
      <c r="D450" s="66" t="s">
        <v>1965</v>
      </c>
      <c r="E450" s="4" t="s">
        <v>810</v>
      </c>
      <c r="F450">
        <f>VLOOKUP(B450,[1]Base!$A$8:$U$66,21,FALSE)</f>
        <v>5</v>
      </c>
      <c r="G450">
        <f t="shared" si="6"/>
        <v>503</v>
      </c>
    </row>
    <row r="451" spans="1:7">
      <c r="A451" s="4">
        <v>484</v>
      </c>
      <c r="B451" s="4">
        <v>53</v>
      </c>
      <c r="C451" s="4">
        <v>4</v>
      </c>
      <c r="D451" s="66" t="s">
        <v>2556</v>
      </c>
      <c r="E451" s="4" t="s">
        <v>811</v>
      </c>
      <c r="F451">
        <f>VLOOKUP(B451,[1]Base!$A$8:$U$66,21,FALSE)</f>
        <v>5</v>
      </c>
      <c r="G451">
        <f t="shared" si="6"/>
        <v>504</v>
      </c>
    </row>
    <row r="452" spans="1:7">
      <c r="A452" s="4">
        <v>485</v>
      </c>
      <c r="B452" s="4">
        <v>53</v>
      </c>
      <c r="C452" s="4">
        <v>5</v>
      </c>
      <c r="D452" s="66" t="s">
        <v>1966</v>
      </c>
      <c r="E452" s="4" t="s">
        <v>812</v>
      </c>
      <c r="F452">
        <f>VLOOKUP(B452,[1]Base!$A$8:$U$66,21,FALSE)</f>
        <v>5</v>
      </c>
      <c r="G452">
        <f t="shared" si="6"/>
        <v>505</v>
      </c>
    </row>
    <row r="453" spans="1:7">
      <c r="A453" s="4">
        <v>486</v>
      </c>
      <c r="B453" s="4">
        <v>53</v>
      </c>
      <c r="C453" s="4">
        <v>6</v>
      </c>
      <c r="D453" s="66" t="s">
        <v>2556</v>
      </c>
      <c r="E453" s="4" t="s">
        <v>814</v>
      </c>
      <c r="F453">
        <f>VLOOKUP(B453,[1]Base!$A$8:$U$66,21,FALSE)</f>
        <v>5</v>
      </c>
      <c r="G453">
        <f t="shared" si="6"/>
        <v>506</v>
      </c>
    </row>
    <row r="454" spans="1:7">
      <c r="A454" s="4">
        <v>487</v>
      </c>
      <c r="B454" s="4">
        <v>53</v>
      </c>
      <c r="C454" s="4">
        <v>7</v>
      </c>
      <c r="D454" s="66" t="s">
        <v>1966</v>
      </c>
      <c r="E454" s="4" t="s">
        <v>815</v>
      </c>
      <c r="F454">
        <f>VLOOKUP(B454,[1]Base!$A$8:$U$66,21,FALSE)</f>
        <v>5</v>
      </c>
      <c r="G454">
        <f t="shared" si="6"/>
        <v>507</v>
      </c>
    </row>
    <row r="455" spans="1:7">
      <c r="A455" s="4">
        <v>488</v>
      </c>
      <c r="B455" s="4">
        <v>53</v>
      </c>
      <c r="C455" s="4">
        <v>8</v>
      </c>
      <c r="D455" s="66" t="s">
        <v>2557</v>
      </c>
      <c r="E455" s="4" t="s">
        <v>816</v>
      </c>
      <c r="F455">
        <f>VLOOKUP(B455,[1]Base!$A$8:$U$66,21,FALSE)</f>
        <v>5</v>
      </c>
      <c r="G455">
        <f t="shared" si="6"/>
        <v>508</v>
      </c>
    </row>
    <row r="456" spans="1:7">
      <c r="A456" s="4">
        <v>489</v>
      </c>
      <c r="B456" s="4">
        <v>53</v>
      </c>
      <c r="C456" s="4">
        <v>9</v>
      </c>
      <c r="D456" s="66" t="s">
        <v>1968</v>
      </c>
      <c r="E456" s="4" t="s">
        <v>817</v>
      </c>
      <c r="F456">
        <f>VLOOKUP(B456,[1]Base!$A$8:$U$66,21,FALSE)</f>
        <v>5</v>
      </c>
      <c r="G456">
        <f t="shared" si="6"/>
        <v>509</v>
      </c>
    </row>
    <row r="457" spans="1:7">
      <c r="A457" s="4">
        <v>490</v>
      </c>
      <c r="B457" s="4">
        <v>53</v>
      </c>
      <c r="C457" s="4">
        <v>10</v>
      </c>
      <c r="D457" s="66" t="s">
        <v>2558</v>
      </c>
      <c r="E457" s="4" t="s">
        <v>818</v>
      </c>
      <c r="F457">
        <f>VLOOKUP(B457,[1]Base!$A$8:$U$66,21,FALSE)</f>
        <v>5</v>
      </c>
      <c r="G457">
        <f t="shared" ref="G457:G507" si="7">F457*100+C457</f>
        <v>510</v>
      </c>
    </row>
    <row r="458" spans="1:7">
      <c r="A458" s="4">
        <v>491</v>
      </c>
      <c r="B458" s="4">
        <v>54</v>
      </c>
      <c r="C458" s="4">
        <v>1</v>
      </c>
      <c r="D458" s="66" t="s">
        <v>1965</v>
      </c>
      <c r="E458" s="4" t="s">
        <v>979</v>
      </c>
      <c r="F458">
        <f>VLOOKUP(B458,[1]Base!$A$8:$U$66,21,FALSE)</f>
        <v>5</v>
      </c>
      <c r="G458">
        <f t="shared" si="7"/>
        <v>501</v>
      </c>
    </row>
    <row r="459" spans="1:7">
      <c r="A459" s="4">
        <v>492</v>
      </c>
      <c r="B459">
        <v>54</v>
      </c>
      <c r="C459" s="4">
        <v>2</v>
      </c>
      <c r="D459" s="66" t="s">
        <v>2555</v>
      </c>
      <c r="E459" s="4" t="s">
        <v>809</v>
      </c>
      <c r="F459">
        <f>VLOOKUP(B459,[1]Base!$A$8:$U$66,21,FALSE)</f>
        <v>5</v>
      </c>
      <c r="G459">
        <f t="shared" si="7"/>
        <v>502</v>
      </c>
    </row>
    <row r="460" spans="1:7">
      <c r="A460" s="4">
        <v>493</v>
      </c>
      <c r="B460">
        <v>54</v>
      </c>
      <c r="C460" s="4">
        <v>3</v>
      </c>
      <c r="D460" s="66" t="s">
        <v>1965</v>
      </c>
      <c r="E460" s="4" t="s">
        <v>810</v>
      </c>
      <c r="F460">
        <f>VLOOKUP(B460,[1]Base!$A$8:$U$66,21,FALSE)</f>
        <v>5</v>
      </c>
      <c r="G460">
        <f t="shared" si="7"/>
        <v>503</v>
      </c>
    </row>
    <row r="461" spans="1:7">
      <c r="A461" s="4">
        <v>494</v>
      </c>
      <c r="B461">
        <v>54</v>
      </c>
      <c r="C461" s="4">
        <v>4</v>
      </c>
      <c r="D461" s="66" t="s">
        <v>2556</v>
      </c>
      <c r="E461" s="4" t="s">
        <v>811</v>
      </c>
      <c r="F461">
        <f>VLOOKUP(B461,[1]Base!$A$8:$U$66,21,FALSE)</f>
        <v>5</v>
      </c>
      <c r="G461">
        <f t="shared" si="7"/>
        <v>504</v>
      </c>
    </row>
    <row r="462" spans="1:7">
      <c r="A462" s="4">
        <v>495</v>
      </c>
      <c r="B462">
        <v>54</v>
      </c>
      <c r="C462" s="4">
        <v>5</v>
      </c>
      <c r="D462" s="66" t="s">
        <v>1966</v>
      </c>
      <c r="E462" s="4" t="s">
        <v>812</v>
      </c>
      <c r="F462">
        <f>VLOOKUP(B462,[1]Base!$A$8:$U$66,21,FALSE)</f>
        <v>5</v>
      </c>
      <c r="G462">
        <f t="shared" si="7"/>
        <v>505</v>
      </c>
    </row>
    <row r="463" spans="1:7">
      <c r="A463" s="4">
        <v>496</v>
      </c>
      <c r="B463">
        <v>54</v>
      </c>
      <c r="C463" s="4">
        <v>6</v>
      </c>
      <c r="D463" s="66" t="s">
        <v>2556</v>
      </c>
      <c r="E463" s="4" t="s">
        <v>814</v>
      </c>
      <c r="F463">
        <f>VLOOKUP(B463,[1]Base!$A$8:$U$66,21,FALSE)</f>
        <v>5</v>
      </c>
      <c r="G463">
        <f t="shared" si="7"/>
        <v>506</v>
      </c>
    </row>
    <row r="464" spans="1:7">
      <c r="A464" s="4">
        <v>497</v>
      </c>
      <c r="B464">
        <v>54</v>
      </c>
      <c r="C464" s="4">
        <v>7</v>
      </c>
      <c r="D464" s="66" t="s">
        <v>1966</v>
      </c>
      <c r="E464" s="4" t="s">
        <v>815</v>
      </c>
      <c r="F464">
        <f>VLOOKUP(B464,[1]Base!$A$8:$U$66,21,FALSE)</f>
        <v>5</v>
      </c>
      <c r="G464">
        <f t="shared" si="7"/>
        <v>507</v>
      </c>
    </row>
    <row r="465" spans="1:7">
      <c r="A465" s="4">
        <v>498</v>
      </c>
      <c r="B465" s="4">
        <v>54</v>
      </c>
      <c r="C465" s="4">
        <v>8</v>
      </c>
      <c r="D465" s="66" t="s">
        <v>2557</v>
      </c>
      <c r="E465" s="4" t="s">
        <v>816</v>
      </c>
      <c r="F465">
        <f>VLOOKUP(B465,[1]Base!$A$8:$U$66,21,FALSE)</f>
        <v>5</v>
      </c>
      <c r="G465">
        <f t="shared" si="7"/>
        <v>508</v>
      </c>
    </row>
    <row r="466" spans="1:7">
      <c r="A466" s="4">
        <v>499</v>
      </c>
      <c r="B466" s="4">
        <v>54</v>
      </c>
      <c r="C466" s="4">
        <v>9</v>
      </c>
      <c r="D466" s="66" t="s">
        <v>1968</v>
      </c>
      <c r="E466" s="4" t="s">
        <v>817</v>
      </c>
      <c r="F466">
        <f>VLOOKUP(B466,[1]Base!$A$8:$U$66,21,FALSE)</f>
        <v>5</v>
      </c>
      <c r="G466">
        <f t="shared" si="7"/>
        <v>509</v>
      </c>
    </row>
    <row r="467" spans="1:7">
      <c r="A467" s="4">
        <v>500</v>
      </c>
      <c r="B467" s="4">
        <v>54</v>
      </c>
      <c r="C467" s="4">
        <v>10</v>
      </c>
      <c r="D467" s="66" t="s">
        <v>2558</v>
      </c>
      <c r="E467" s="4" t="s">
        <v>818</v>
      </c>
      <c r="F467">
        <f>VLOOKUP(B467,[1]Base!$A$8:$U$66,21,FALSE)</f>
        <v>5</v>
      </c>
      <c r="G467">
        <f t="shared" si="7"/>
        <v>510</v>
      </c>
    </row>
    <row r="468" spans="1:7">
      <c r="A468" s="4">
        <v>501</v>
      </c>
      <c r="B468" s="4">
        <v>56</v>
      </c>
      <c r="C468" s="4">
        <v>1</v>
      </c>
      <c r="D468" s="66" t="s">
        <v>1965</v>
      </c>
      <c r="E468" s="4" t="s">
        <v>979</v>
      </c>
      <c r="F468">
        <f>VLOOKUP(B468,[1]Base!$A$8:$U$66,21,FALSE)</f>
        <v>5</v>
      </c>
      <c r="G468">
        <f t="shared" si="7"/>
        <v>501</v>
      </c>
    </row>
    <row r="469" spans="1:7">
      <c r="A469" s="4">
        <v>502</v>
      </c>
      <c r="B469" s="4">
        <v>56</v>
      </c>
      <c r="C469" s="4">
        <v>2</v>
      </c>
      <c r="D469" s="66" t="s">
        <v>2555</v>
      </c>
      <c r="E469" s="4" t="s">
        <v>809</v>
      </c>
      <c r="F469">
        <f>VLOOKUP(B469,[1]Base!$A$8:$U$66,21,FALSE)</f>
        <v>5</v>
      </c>
      <c r="G469">
        <f t="shared" si="7"/>
        <v>502</v>
      </c>
    </row>
    <row r="470" spans="1:7">
      <c r="A470" s="4">
        <v>503</v>
      </c>
      <c r="B470" s="4">
        <v>56</v>
      </c>
      <c r="C470" s="4">
        <v>3</v>
      </c>
      <c r="D470" s="66" t="s">
        <v>1965</v>
      </c>
      <c r="E470" s="4" t="s">
        <v>810</v>
      </c>
      <c r="F470">
        <f>VLOOKUP(B470,[1]Base!$A$8:$U$66,21,FALSE)</f>
        <v>5</v>
      </c>
      <c r="G470">
        <f t="shared" si="7"/>
        <v>503</v>
      </c>
    </row>
    <row r="471" spans="1:7">
      <c r="A471" s="4">
        <v>504</v>
      </c>
      <c r="B471" s="4">
        <v>56</v>
      </c>
      <c r="C471" s="4">
        <v>4</v>
      </c>
      <c r="D471" s="66" t="s">
        <v>2556</v>
      </c>
      <c r="E471" s="4" t="s">
        <v>811</v>
      </c>
      <c r="F471">
        <f>VLOOKUP(B471,[1]Base!$A$8:$U$66,21,FALSE)</f>
        <v>5</v>
      </c>
      <c r="G471">
        <f t="shared" si="7"/>
        <v>504</v>
      </c>
    </row>
    <row r="472" spans="1:7">
      <c r="A472" s="4">
        <v>505</v>
      </c>
      <c r="B472">
        <v>56</v>
      </c>
      <c r="C472" s="4">
        <v>5</v>
      </c>
      <c r="D472" s="66" t="s">
        <v>1966</v>
      </c>
      <c r="E472" s="4" t="s">
        <v>812</v>
      </c>
      <c r="F472">
        <f>VLOOKUP(B472,[1]Base!$A$8:$U$66,21,FALSE)</f>
        <v>5</v>
      </c>
      <c r="G472">
        <f t="shared" si="7"/>
        <v>505</v>
      </c>
    </row>
    <row r="473" spans="1:7">
      <c r="A473" s="4">
        <v>506</v>
      </c>
      <c r="B473" s="4">
        <v>56</v>
      </c>
      <c r="C473" s="4">
        <v>6</v>
      </c>
      <c r="D473" s="66" t="s">
        <v>2556</v>
      </c>
      <c r="E473" s="4" t="s">
        <v>814</v>
      </c>
      <c r="F473">
        <f>VLOOKUP(B473,[1]Base!$A$8:$U$66,21,FALSE)</f>
        <v>5</v>
      </c>
      <c r="G473">
        <f t="shared" si="7"/>
        <v>506</v>
      </c>
    </row>
    <row r="474" spans="1:7">
      <c r="A474" s="4">
        <v>507</v>
      </c>
      <c r="B474" s="4">
        <v>56</v>
      </c>
      <c r="C474" s="4">
        <v>7</v>
      </c>
      <c r="D474" s="66" t="s">
        <v>1966</v>
      </c>
      <c r="E474" s="4" t="s">
        <v>815</v>
      </c>
      <c r="F474">
        <f>VLOOKUP(B474,[1]Base!$A$8:$U$66,21,FALSE)</f>
        <v>5</v>
      </c>
      <c r="G474">
        <f t="shared" si="7"/>
        <v>507</v>
      </c>
    </row>
    <row r="475" spans="1:7">
      <c r="A475" s="4">
        <v>508</v>
      </c>
      <c r="B475" s="4">
        <v>56</v>
      </c>
      <c r="C475" s="4">
        <v>8</v>
      </c>
      <c r="D475" s="66" t="s">
        <v>2557</v>
      </c>
      <c r="E475" s="4" t="s">
        <v>816</v>
      </c>
      <c r="F475">
        <f>VLOOKUP(B475,[1]Base!$A$8:$U$66,21,FALSE)</f>
        <v>5</v>
      </c>
      <c r="G475">
        <f t="shared" si="7"/>
        <v>508</v>
      </c>
    </row>
    <row r="476" spans="1:7">
      <c r="A476" s="4">
        <v>509</v>
      </c>
      <c r="B476" s="4">
        <v>56</v>
      </c>
      <c r="C476" s="4">
        <v>9</v>
      </c>
      <c r="D476" s="66" t="s">
        <v>1968</v>
      </c>
      <c r="E476" s="4" t="s">
        <v>817</v>
      </c>
      <c r="F476">
        <f>VLOOKUP(B476,[1]Base!$A$8:$U$66,21,FALSE)</f>
        <v>5</v>
      </c>
      <c r="G476">
        <f t="shared" si="7"/>
        <v>509</v>
      </c>
    </row>
    <row r="477" spans="1:7">
      <c r="A477" s="4">
        <v>510</v>
      </c>
      <c r="B477" s="4">
        <v>56</v>
      </c>
      <c r="C477" s="4">
        <v>10</v>
      </c>
      <c r="D477" s="66" t="s">
        <v>2558</v>
      </c>
      <c r="E477" s="4" t="s">
        <v>818</v>
      </c>
      <c r="F477">
        <f>VLOOKUP(B477,[1]Base!$A$8:$U$66,21,FALSE)</f>
        <v>5</v>
      </c>
      <c r="G477">
        <f t="shared" si="7"/>
        <v>510</v>
      </c>
    </row>
    <row r="478" spans="1:7">
      <c r="A478" s="4">
        <v>511</v>
      </c>
      <c r="B478" s="4">
        <v>55</v>
      </c>
      <c r="C478" s="4">
        <v>1</v>
      </c>
      <c r="D478" s="66" t="s">
        <v>1965</v>
      </c>
      <c r="E478" s="4" t="s">
        <v>979</v>
      </c>
      <c r="F478">
        <f>VLOOKUP(B478,[1]Base!$A$8:$U$66,21,FALSE)</f>
        <v>5</v>
      </c>
      <c r="G478">
        <f t="shared" si="7"/>
        <v>501</v>
      </c>
    </row>
    <row r="479" spans="1:7">
      <c r="A479" s="4">
        <v>512</v>
      </c>
      <c r="B479" s="4">
        <v>55</v>
      </c>
      <c r="C479" s="4">
        <v>2</v>
      </c>
      <c r="D479" s="66" t="s">
        <v>2555</v>
      </c>
      <c r="E479" s="4" t="s">
        <v>809</v>
      </c>
      <c r="F479">
        <f>VLOOKUP(B479,[1]Base!$A$8:$U$66,21,FALSE)</f>
        <v>5</v>
      </c>
      <c r="G479">
        <f t="shared" si="7"/>
        <v>502</v>
      </c>
    </row>
    <row r="480" spans="1:7">
      <c r="A480" s="4">
        <v>513</v>
      </c>
      <c r="B480" s="4">
        <v>55</v>
      </c>
      <c r="C480" s="4">
        <v>3</v>
      </c>
      <c r="D480" s="66" t="s">
        <v>1965</v>
      </c>
      <c r="E480" s="4" t="s">
        <v>810</v>
      </c>
      <c r="F480">
        <f>VLOOKUP(B480,[1]Base!$A$8:$U$66,21,FALSE)</f>
        <v>5</v>
      </c>
      <c r="G480">
        <f t="shared" si="7"/>
        <v>503</v>
      </c>
    </row>
    <row r="481" spans="1:7">
      <c r="A481" s="4">
        <v>514</v>
      </c>
      <c r="B481" s="4">
        <v>55</v>
      </c>
      <c r="C481" s="4">
        <v>4</v>
      </c>
      <c r="D481" s="66" t="s">
        <v>2556</v>
      </c>
      <c r="E481" s="4" t="s">
        <v>811</v>
      </c>
      <c r="F481">
        <f>VLOOKUP(B481,[1]Base!$A$8:$U$66,21,FALSE)</f>
        <v>5</v>
      </c>
      <c r="G481">
        <f t="shared" si="7"/>
        <v>504</v>
      </c>
    </row>
    <row r="482" spans="1:7">
      <c r="A482" s="4">
        <v>515</v>
      </c>
      <c r="B482" s="4">
        <v>55</v>
      </c>
      <c r="C482" s="4">
        <v>5</v>
      </c>
      <c r="D482" s="66" t="s">
        <v>1966</v>
      </c>
      <c r="E482" s="4" t="s">
        <v>812</v>
      </c>
      <c r="F482">
        <f>VLOOKUP(B482,[1]Base!$A$8:$U$66,21,FALSE)</f>
        <v>5</v>
      </c>
      <c r="G482">
        <f t="shared" si="7"/>
        <v>505</v>
      </c>
    </row>
    <row r="483" spans="1:7">
      <c r="A483" s="4">
        <v>516</v>
      </c>
      <c r="B483" s="4">
        <v>55</v>
      </c>
      <c r="C483" s="4">
        <v>6</v>
      </c>
      <c r="D483" s="66" t="s">
        <v>2556</v>
      </c>
      <c r="E483" s="4" t="s">
        <v>814</v>
      </c>
      <c r="F483">
        <f>VLOOKUP(B483,[1]Base!$A$8:$U$66,21,FALSE)</f>
        <v>5</v>
      </c>
      <c r="G483">
        <f t="shared" si="7"/>
        <v>506</v>
      </c>
    </row>
    <row r="484" spans="1:7">
      <c r="A484" s="4">
        <v>517</v>
      </c>
      <c r="B484" s="4">
        <v>55</v>
      </c>
      <c r="C484" s="4">
        <v>7</v>
      </c>
      <c r="D484" s="66" t="s">
        <v>1966</v>
      </c>
      <c r="E484" s="4" t="s">
        <v>815</v>
      </c>
      <c r="F484">
        <f>VLOOKUP(B484,[1]Base!$A$8:$U$66,21,FALSE)</f>
        <v>5</v>
      </c>
      <c r="G484">
        <f t="shared" si="7"/>
        <v>507</v>
      </c>
    </row>
    <row r="485" spans="1:7">
      <c r="A485" s="4">
        <v>518</v>
      </c>
      <c r="B485" s="4">
        <v>55</v>
      </c>
      <c r="C485" s="4">
        <v>8</v>
      </c>
      <c r="D485" s="66" t="s">
        <v>2557</v>
      </c>
      <c r="E485" s="4" t="s">
        <v>816</v>
      </c>
      <c r="F485">
        <f>VLOOKUP(B485,[1]Base!$A$8:$U$66,21,FALSE)</f>
        <v>5</v>
      </c>
      <c r="G485">
        <f t="shared" si="7"/>
        <v>508</v>
      </c>
    </row>
    <row r="486" spans="1:7">
      <c r="A486" s="4">
        <v>519</v>
      </c>
      <c r="B486" s="4">
        <v>55</v>
      </c>
      <c r="C486" s="4">
        <v>9</v>
      </c>
      <c r="D486" s="66" t="s">
        <v>1968</v>
      </c>
      <c r="E486" s="4" t="s">
        <v>817</v>
      </c>
      <c r="F486">
        <f>VLOOKUP(B486,[1]Base!$A$8:$U$66,21,FALSE)</f>
        <v>5</v>
      </c>
      <c r="G486">
        <f t="shared" si="7"/>
        <v>509</v>
      </c>
    </row>
    <row r="487" spans="1:7">
      <c r="A487" s="4">
        <v>520</v>
      </c>
      <c r="B487" s="4">
        <v>55</v>
      </c>
      <c r="C487" s="4">
        <v>10</v>
      </c>
      <c r="D487" s="66" t="s">
        <v>2558</v>
      </c>
      <c r="E487" s="4" t="s">
        <v>818</v>
      </c>
      <c r="F487">
        <f>VLOOKUP(B487,[1]Base!$A$8:$U$66,21,FALSE)</f>
        <v>5</v>
      </c>
      <c r="G487">
        <f t="shared" si="7"/>
        <v>510</v>
      </c>
    </row>
    <row r="488" spans="1:7">
      <c r="A488" s="4">
        <v>521</v>
      </c>
      <c r="B488" s="4">
        <v>62</v>
      </c>
      <c r="C488" s="4">
        <v>1</v>
      </c>
      <c r="D488" s="66" t="s">
        <v>1965</v>
      </c>
      <c r="E488" s="4" t="s">
        <v>979</v>
      </c>
      <c r="F488">
        <f>VLOOKUP(B488,[1]Base!$A$8:$U$66,21,FALSE)</f>
        <v>5</v>
      </c>
      <c r="G488">
        <f t="shared" si="7"/>
        <v>501</v>
      </c>
    </row>
    <row r="489" spans="1:7">
      <c r="A489" s="4">
        <v>522</v>
      </c>
      <c r="B489" s="4">
        <v>62</v>
      </c>
      <c r="C489" s="4">
        <v>2</v>
      </c>
      <c r="D489" s="66" t="s">
        <v>2555</v>
      </c>
      <c r="E489" s="4" t="s">
        <v>809</v>
      </c>
      <c r="F489">
        <f>VLOOKUP(B489,[1]Base!$A$8:$U$66,21,FALSE)</f>
        <v>5</v>
      </c>
      <c r="G489">
        <f t="shared" si="7"/>
        <v>502</v>
      </c>
    </row>
    <row r="490" spans="1:7">
      <c r="A490" s="4">
        <v>523</v>
      </c>
      <c r="B490" s="4">
        <v>62</v>
      </c>
      <c r="C490" s="4">
        <v>3</v>
      </c>
      <c r="D490" s="66" t="s">
        <v>1965</v>
      </c>
      <c r="E490" s="4" t="s">
        <v>810</v>
      </c>
      <c r="F490">
        <f>VLOOKUP(B490,[1]Base!$A$8:$U$66,21,FALSE)</f>
        <v>5</v>
      </c>
      <c r="G490">
        <f t="shared" si="7"/>
        <v>503</v>
      </c>
    </row>
    <row r="491" spans="1:7">
      <c r="A491" s="4">
        <v>524</v>
      </c>
      <c r="B491" s="4">
        <v>62</v>
      </c>
      <c r="C491" s="4">
        <v>4</v>
      </c>
      <c r="D491" s="66" t="s">
        <v>2556</v>
      </c>
      <c r="E491" s="4" t="s">
        <v>811</v>
      </c>
      <c r="F491">
        <f>VLOOKUP(B491,[1]Base!$A$8:$U$66,21,FALSE)</f>
        <v>5</v>
      </c>
      <c r="G491">
        <f t="shared" si="7"/>
        <v>504</v>
      </c>
    </row>
    <row r="492" spans="1:7">
      <c r="A492" s="4">
        <v>525</v>
      </c>
      <c r="B492" s="4">
        <v>62</v>
      </c>
      <c r="C492" s="4">
        <v>5</v>
      </c>
      <c r="D492" s="66" t="s">
        <v>1966</v>
      </c>
      <c r="E492" s="4" t="s">
        <v>812</v>
      </c>
      <c r="F492">
        <f>VLOOKUP(B492,[1]Base!$A$8:$U$66,21,FALSE)</f>
        <v>5</v>
      </c>
      <c r="G492">
        <f t="shared" si="7"/>
        <v>505</v>
      </c>
    </row>
    <row r="493" spans="1:7">
      <c r="A493" s="4">
        <v>526</v>
      </c>
      <c r="B493" s="4">
        <v>62</v>
      </c>
      <c r="C493" s="4">
        <v>6</v>
      </c>
      <c r="D493" s="66" t="s">
        <v>2556</v>
      </c>
      <c r="E493" s="4" t="s">
        <v>814</v>
      </c>
      <c r="F493">
        <f>VLOOKUP(B493,[1]Base!$A$8:$U$66,21,FALSE)</f>
        <v>5</v>
      </c>
      <c r="G493">
        <f t="shared" si="7"/>
        <v>506</v>
      </c>
    </row>
    <row r="494" spans="1:7">
      <c r="A494" s="4">
        <v>527</v>
      </c>
      <c r="B494" s="4">
        <v>62</v>
      </c>
      <c r="C494" s="4">
        <v>7</v>
      </c>
      <c r="D494" s="66" t="s">
        <v>1966</v>
      </c>
      <c r="E494" s="4" t="s">
        <v>815</v>
      </c>
      <c r="F494">
        <f>VLOOKUP(B494,[1]Base!$A$8:$U$66,21,FALSE)</f>
        <v>5</v>
      </c>
      <c r="G494">
        <f t="shared" si="7"/>
        <v>507</v>
      </c>
    </row>
    <row r="495" spans="1:7">
      <c r="A495" s="4">
        <v>528</v>
      </c>
      <c r="B495" s="4">
        <v>62</v>
      </c>
      <c r="C495" s="4">
        <v>8</v>
      </c>
      <c r="D495" s="66" t="s">
        <v>2557</v>
      </c>
      <c r="E495" s="4" t="s">
        <v>816</v>
      </c>
      <c r="F495">
        <f>VLOOKUP(B495,[1]Base!$A$8:$U$66,21,FALSE)</f>
        <v>5</v>
      </c>
      <c r="G495">
        <f t="shared" si="7"/>
        <v>508</v>
      </c>
    </row>
    <row r="496" spans="1:7">
      <c r="A496" s="4">
        <v>529</v>
      </c>
      <c r="B496" s="4">
        <v>62</v>
      </c>
      <c r="C496" s="4">
        <v>9</v>
      </c>
      <c r="D496" s="66" t="s">
        <v>1968</v>
      </c>
      <c r="E496" s="4" t="s">
        <v>817</v>
      </c>
      <c r="F496">
        <f>VLOOKUP(B496,[1]Base!$A$8:$U$66,21,FALSE)</f>
        <v>5</v>
      </c>
      <c r="G496">
        <f t="shared" si="7"/>
        <v>509</v>
      </c>
    </row>
    <row r="497" spans="1:7">
      <c r="A497" s="4">
        <v>530</v>
      </c>
      <c r="B497" s="4">
        <v>62</v>
      </c>
      <c r="C497" s="4">
        <v>10</v>
      </c>
      <c r="D497" s="66" t="s">
        <v>2558</v>
      </c>
      <c r="E497" s="4" t="s">
        <v>818</v>
      </c>
      <c r="F497">
        <f>VLOOKUP(B497,[1]Base!$A$8:$U$66,21,FALSE)</f>
        <v>5</v>
      </c>
      <c r="G497">
        <f t="shared" si="7"/>
        <v>510</v>
      </c>
    </row>
    <row r="498" spans="1:7">
      <c r="A498" s="4">
        <v>531</v>
      </c>
      <c r="B498" s="4">
        <v>64</v>
      </c>
      <c r="C498" s="4">
        <v>1</v>
      </c>
      <c r="D498" s="66" t="s">
        <v>1965</v>
      </c>
      <c r="E498" s="4" t="s">
        <v>979</v>
      </c>
      <c r="F498">
        <f>VLOOKUP(B498,[1]Base!$A$8:$U$66,21,FALSE)</f>
        <v>5</v>
      </c>
      <c r="G498">
        <f t="shared" si="7"/>
        <v>501</v>
      </c>
    </row>
    <row r="499" spans="1:7">
      <c r="A499" s="4">
        <v>532</v>
      </c>
      <c r="B499" s="4">
        <v>64</v>
      </c>
      <c r="C499" s="4">
        <v>2</v>
      </c>
      <c r="D499" s="66" t="s">
        <v>2555</v>
      </c>
      <c r="E499" s="4" t="s">
        <v>809</v>
      </c>
      <c r="F499">
        <f>VLOOKUP(B499,[1]Base!$A$8:$U$66,21,FALSE)</f>
        <v>5</v>
      </c>
      <c r="G499">
        <f t="shared" si="7"/>
        <v>502</v>
      </c>
    </row>
    <row r="500" spans="1:7">
      <c r="A500" s="4">
        <v>533</v>
      </c>
      <c r="B500" s="4">
        <v>64</v>
      </c>
      <c r="C500" s="4">
        <v>3</v>
      </c>
      <c r="D500" s="66" t="s">
        <v>1965</v>
      </c>
      <c r="E500" s="4" t="s">
        <v>810</v>
      </c>
      <c r="F500">
        <f>VLOOKUP(B500,[1]Base!$A$8:$U$66,21,FALSE)</f>
        <v>5</v>
      </c>
      <c r="G500">
        <f t="shared" si="7"/>
        <v>503</v>
      </c>
    </row>
    <row r="501" spans="1:7">
      <c r="A501" s="4">
        <v>534</v>
      </c>
      <c r="B501" s="4">
        <v>64</v>
      </c>
      <c r="C501" s="4">
        <v>4</v>
      </c>
      <c r="D501" s="66" t="s">
        <v>2556</v>
      </c>
      <c r="E501" s="4" t="s">
        <v>811</v>
      </c>
      <c r="F501">
        <f>VLOOKUP(B501,[1]Base!$A$8:$U$66,21,FALSE)</f>
        <v>5</v>
      </c>
      <c r="G501">
        <f t="shared" si="7"/>
        <v>504</v>
      </c>
    </row>
    <row r="502" spans="1:7">
      <c r="A502" s="4">
        <v>535</v>
      </c>
      <c r="B502" s="4">
        <v>64</v>
      </c>
      <c r="C502" s="4">
        <v>5</v>
      </c>
      <c r="D502" s="66" t="s">
        <v>1966</v>
      </c>
      <c r="E502" s="4" t="s">
        <v>812</v>
      </c>
      <c r="F502">
        <f>VLOOKUP(B502,[1]Base!$A$8:$U$66,21,FALSE)</f>
        <v>5</v>
      </c>
      <c r="G502">
        <f t="shared" si="7"/>
        <v>505</v>
      </c>
    </row>
    <row r="503" spans="1:7">
      <c r="A503" s="4">
        <v>536</v>
      </c>
      <c r="B503" s="4">
        <v>64</v>
      </c>
      <c r="C503" s="4">
        <v>6</v>
      </c>
      <c r="D503" s="66" t="s">
        <v>2556</v>
      </c>
      <c r="E503" s="4" t="s">
        <v>814</v>
      </c>
      <c r="F503">
        <f>VLOOKUP(B503,[1]Base!$A$8:$U$66,21,FALSE)</f>
        <v>5</v>
      </c>
      <c r="G503">
        <f t="shared" si="7"/>
        <v>506</v>
      </c>
    </row>
    <row r="504" spans="1:7">
      <c r="A504" s="4">
        <v>537</v>
      </c>
      <c r="B504" s="4">
        <v>64</v>
      </c>
      <c r="C504" s="4">
        <v>7</v>
      </c>
      <c r="D504" s="66" t="s">
        <v>1966</v>
      </c>
      <c r="E504" s="4" t="s">
        <v>815</v>
      </c>
      <c r="F504">
        <f>VLOOKUP(B504,[1]Base!$A$8:$U$66,21,FALSE)</f>
        <v>5</v>
      </c>
      <c r="G504">
        <f t="shared" si="7"/>
        <v>507</v>
      </c>
    </row>
    <row r="505" spans="1:7">
      <c r="A505" s="4">
        <v>538</v>
      </c>
      <c r="B505" s="4">
        <v>64</v>
      </c>
      <c r="C505" s="4">
        <v>8</v>
      </c>
      <c r="D505" s="66" t="s">
        <v>2557</v>
      </c>
      <c r="E505" s="4" t="s">
        <v>816</v>
      </c>
      <c r="F505">
        <f>VLOOKUP(B505,[1]Base!$A$8:$U$66,21,FALSE)</f>
        <v>5</v>
      </c>
      <c r="G505">
        <f t="shared" si="7"/>
        <v>508</v>
      </c>
    </row>
    <row r="506" spans="1:7">
      <c r="A506" s="4">
        <v>539</v>
      </c>
      <c r="B506" s="4">
        <v>64</v>
      </c>
      <c r="C506" s="4">
        <v>9</v>
      </c>
      <c r="D506" s="66" t="s">
        <v>1968</v>
      </c>
      <c r="E506" s="4" t="s">
        <v>817</v>
      </c>
      <c r="F506">
        <f>VLOOKUP(B506,[1]Base!$A$8:$U$66,21,FALSE)</f>
        <v>5</v>
      </c>
      <c r="G506">
        <f t="shared" si="7"/>
        <v>509</v>
      </c>
    </row>
    <row r="507" spans="1:7">
      <c r="A507" s="4">
        <v>540</v>
      </c>
      <c r="B507" s="4">
        <v>64</v>
      </c>
      <c r="C507" s="4">
        <v>10</v>
      </c>
      <c r="D507" s="66" t="s">
        <v>2558</v>
      </c>
      <c r="E507" s="4" t="s">
        <v>818</v>
      </c>
      <c r="F507">
        <f>VLOOKUP(B507,[1]Base!$A$8:$U$66,21,FALSE)</f>
        <v>5</v>
      </c>
      <c r="G507">
        <f t="shared" si="7"/>
        <v>510</v>
      </c>
    </row>
  </sheetData>
  <autoFilter ref="A1:F477" xr:uid="{00000000-0009-0000-0000-000004000000}"/>
  <phoneticPr fontId="15" type="noConversion"/>
  <conditionalFormatting sqref="A3:A7 D3:D507">
    <cfRule type="containsText" dxfId="231" priority="87" operator="containsText" text="请填写">
      <formula>NOT(ISERROR(SEARCH("请填写",A3)))</formula>
    </cfRule>
  </conditionalFormatting>
  <conditionalFormatting sqref="B3:B7">
    <cfRule type="containsText" dxfId="230" priority="86" operator="containsText" text="请填写">
      <formula>NOT(ISERROR(SEARCH("请填写",B3)))</formula>
    </cfRule>
  </conditionalFormatting>
  <conditionalFormatting sqref="C3:C7">
    <cfRule type="containsText" dxfId="229" priority="83" operator="containsText" text="请填写">
      <formula>NOT(ISERROR(SEARCH("请填写",C3)))</formula>
    </cfRule>
  </conditionalFormatting>
  <dataValidations count="2">
    <dataValidation type="list" allowBlank="1" showInputMessage="1" showErrorMessage="1" sqref="A3:D3" xr:uid="{00000000-0002-0000-04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D4" xr:uid="{00000000-0002-0000-0400-000001000000}">
      <formula1>"All,Server,Client,None"</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3" tint="-0.249977111117893"/>
  </sheetPr>
  <dimension ref="A1:G22"/>
  <sheetViews>
    <sheetView workbookViewId="0">
      <pane xSplit="1" ySplit="7" topLeftCell="B8" activePane="bottomRight" state="frozenSplit"/>
      <selection pane="topRight"/>
      <selection pane="bottomLeft"/>
      <selection pane="bottomRight" activeCell="E53" sqref="E53"/>
    </sheetView>
  </sheetViews>
  <sheetFormatPr defaultColWidth="9" defaultRowHeight="13.5"/>
  <cols>
    <col min="1" max="1" width="12" customWidth="1"/>
    <col min="2" max="2" width="18.125" customWidth="1"/>
    <col min="3" max="3" width="11.25" customWidth="1"/>
    <col min="4" max="4" width="18.875" customWidth="1"/>
    <col min="5" max="5" width="49.25" customWidth="1"/>
    <col min="6" max="7" width="18.125" customWidth="1"/>
  </cols>
  <sheetData>
    <row r="1" spans="1:7">
      <c r="A1" s="3" t="s">
        <v>36</v>
      </c>
      <c r="B1" s="76" t="s">
        <v>65</v>
      </c>
      <c r="C1" s="77" t="s">
        <v>64</v>
      </c>
      <c r="D1" s="75" t="s">
        <v>787</v>
      </c>
      <c r="E1" s="65" t="s">
        <v>789</v>
      </c>
      <c r="F1" s="3" t="s">
        <v>65</v>
      </c>
      <c r="G1" s="1" t="s">
        <v>66</v>
      </c>
    </row>
    <row r="2" spans="1:7">
      <c r="A2" s="3" t="s">
        <v>41</v>
      </c>
      <c r="B2" s="76" t="s">
        <v>981</v>
      </c>
      <c r="C2" s="77" t="s">
        <v>980</v>
      </c>
      <c r="D2" s="75" t="s">
        <v>793</v>
      </c>
      <c r="E2" s="65" t="s">
        <v>843</v>
      </c>
      <c r="F2" s="3" t="s">
        <v>68</v>
      </c>
      <c r="G2" s="1" t="s">
        <v>69</v>
      </c>
    </row>
    <row r="3" spans="1:7">
      <c r="A3" s="3" t="s">
        <v>46</v>
      </c>
      <c r="B3" s="76" t="s">
        <v>47</v>
      </c>
      <c r="C3" s="77" t="s">
        <v>47</v>
      </c>
      <c r="D3" s="75" t="s">
        <v>797</v>
      </c>
      <c r="E3" s="65" t="s">
        <v>982</v>
      </c>
      <c r="F3" s="3" t="s">
        <v>47</v>
      </c>
      <c r="G3" s="1" t="s">
        <v>47</v>
      </c>
    </row>
    <row r="4" spans="1:7">
      <c r="A4" s="3" t="s">
        <v>48</v>
      </c>
      <c r="B4" s="76" t="s">
        <v>49</v>
      </c>
      <c r="C4" s="77" t="s">
        <v>50</v>
      </c>
      <c r="D4" s="75" t="s">
        <v>48</v>
      </c>
      <c r="E4" s="65" t="s">
        <v>49</v>
      </c>
      <c r="F4" s="3" t="s">
        <v>49</v>
      </c>
      <c r="G4" s="1" t="s">
        <v>49</v>
      </c>
    </row>
    <row r="5" spans="1:7" ht="27">
      <c r="A5" s="3"/>
      <c r="B5" s="76" t="s">
        <v>794</v>
      </c>
      <c r="C5" s="77" t="s">
        <v>794</v>
      </c>
      <c r="D5" s="75" t="s">
        <v>794</v>
      </c>
      <c r="E5" s="65" t="s">
        <v>794</v>
      </c>
      <c r="F5" s="3"/>
      <c r="G5" s="1"/>
    </row>
    <row r="6" spans="1:7" ht="22.5" customHeight="1">
      <c r="A6" s="3"/>
      <c r="B6" s="76" t="s">
        <v>795</v>
      </c>
      <c r="C6" s="77" t="s">
        <v>795</v>
      </c>
      <c r="D6" s="75" t="s">
        <v>795</v>
      </c>
      <c r="E6" s="65" t="s">
        <v>795</v>
      </c>
      <c r="F6" s="3"/>
      <c r="G6" s="1"/>
    </row>
    <row r="7" spans="1:7">
      <c r="A7" s="3" t="s">
        <v>8</v>
      </c>
      <c r="B7" s="76" t="s">
        <v>822</v>
      </c>
      <c r="C7" s="77" t="s">
        <v>822</v>
      </c>
      <c r="D7" s="75" t="s">
        <v>796</v>
      </c>
      <c r="E7" s="65" t="s">
        <v>844</v>
      </c>
      <c r="F7" s="3" t="s">
        <v>8</v>
      </c>
      <c r="G7" s="1" t="s">
        <v>8</v>
      </c>
    </row>
    <row r="8" spans="1:7" ht="16.5">
      <c r="A8" s="8">
        <v>1</v>
      </c>
      <c r="B8" s="8" t="s">
        <v>1067</v>
      </c>
      <c r="C8" s="18" t="s">
        <v>791</v>
      </c>
      <c r="D8" s="18" t="s">
        <v>788</v>
      </c>
      <c r="E8" s="78" t="s">
        <v>1062</v>
      </c>
      <c r="F8" s="8" t="s">
        <v>1068</v>
      </c>
      <c r="G8" s="89" t="s">
        <v>1048</v>
      </c>
    </row>
    <row r="9" spans="1:7" ht="16.5">
      <c r="A9" s="8">
        <v>2</v>
      </c>
      <c r="B9" s="8" t="s">
        <v>1069</v>
      </c>
      <c r="C9" s="18" t="s">
        <v>72</v>
      </c>
      <c r="D9" s="18" t="s">
        <v>790</v>
      </c>
      <c r="E9" s="78" t="s">
        <v>1063</v>
      </c>
      <c r="F9" s="8" t="s">
        <v>1070</v>
      </c>
      <c r="G9" s="20" t="s">
        <v>1049</v>
      </c>
    </row>
    <row r="10" spans="1:7" ht="16.5">
      <c r="A10" s="8">
        <v>3</v>
      </c>
      <c r="B10" s="8" t="s">
        <v>1071</v>
      </c>
      <c r="C10" s="18" t="s">
        <v>74</v>
      </c>
      <c r="D10" s="18" t="s">
        <v>2409</v>
      </c>
      <c r="E10" s="78" t="s">
        <v>2412</v>
      </c>
      <c r="F10" s="8" t="s">
        <v>1072</v>
      </c>
      <c r="G10" s="4" t="s">
        <v>1050</v>
      </c>
    </row>
    <row r="11" spans="1:7" ht="16.5">
      <c r="A11" s="8">
        <v>4</v>
      </c>
      <c r="B11" s="8" t="s">
        <v>1073</v>
      </c>
      <c r="C11" s="18" t="s">
        <v>76</v>
      </c>
      <c r="D11" s="18" t="s">
        <v>2410</v>
      </c>
      <c r="E11" s="184" t="s">
        <v>2413</v>
      </c>
      <c r="F11" s="8" t="s">
        <v>1074</v>
      </c>
      <c r="G11" s="20" t="s">
        <v>1051</v>
      </c>
    </row>
    <row r="12" spans="1:7" ht="16.5">
      <c r="A12" s="8">
        <v>5</v>
      </c>
      <c r="B12" s="8" t="s">
        <v>1075</v>
      </c>
      <c r="C12" s="18" t="s">
        <v>78</v>
      </c>
      <c r="D12" s="18" t="s">
        <v>1628</v>
      </c>
      <c r="E12" s="18" t="s">
        <v>1629</v>
      </c>
      <c r="F12" s="8" t="s">
        <v>1076</v>
      </c>
      <c r="G12" s="20" t="s">
        <v>1052</v>
      </c>
    </row>
    <row r="13" spans="1:7" ht="16.5">
      <c r="A13" s="8">
        <v>6</v>
      </c>
      <c r="B13" s="8" t="s">
        <v>1077</v>
      </c>
      <c r="C13" s="18" t="s">
        <v>80</v>
      </c>
      <c r="D13" s="18" t="s">
        <v>984</v>
      </c>
      <c r="E13" s="18" t="s">
        <v>2087</v>
      </c>
      <c r="F13" s="8" t="s">
        <v>1078</v>
      </c>
      <c r="G13" s="20" t="s">
        <v>1053</v>
      </c>
    </row>
    <row r="14" spans="1:7" ht="16.5">
      <c r="A14" s="8">
        <v>7</v>
      </c>
      <c r="B14" s="8" t="s">
        <v>1079</v>
      </c>
      <c r="C14" s="18" t="s">
        <v>82</v>
      </c>
      <c r="D14" s="18" t="s">
        <v>2414</v>
      </c>
      <c r="E14" s="18" t="s">
        <v>2415</v>
      </c>
      <c r="F14" s="8" t="s">
        <v>1080</v>
      </c>
      <c r="G14" s="20" t="s">
        <v>1054</v>
      </c>
    </row>
    <row r="15" spans="1:7" ht="16.5">
      <c r="A15" s="8">
        <v>8</v>
      </c>
      <c r="B15" s="8" t="s">
        <v>1081</v>
      </c>
      <c r="C15" s="18" t="s">
        <v>84</v>
      </c>
      <c r="D15" s="18" t="s">
        <v>1630</v>
      </c>
      <c r="E15" s="18" t="s">
        <v>1631</v>
      </c>
      <c r="F15" s="8" t="s">
        <v>1082</v>
      </c>
      <c r="G15" s="20" t="s">
        <v>1055</v>
      </c>
    </row>
    <row r="16" spans="1:7" ht="16.5">
      <c r="A16" s="8">
        <v>9</v>
      </c>
      <c r="B16" s="8" t="s">
        <v>1083</v>
      </c>
      <c r="C16" s="18" t="s">
        <v>85</v>
      </c>
      <c r="D16" s="18" t="s">
        <v>1061</v>
      </c>
      <c r="E16" s="18" t="s">
        <v>1064</v>
      </c>
      <c r="F16" s="8" t="s">
        <v>1084</v>
      </c>
      <c r="G16" s="20" t="s">
        <v>1056</v>
      </c>
    </row>
    <row r="17" spans="1:7" ht="16.5">
      <c r="A17" s="8">
        <v>10</v>
      </c>
      <c r="B17" s="8" t="s">
        <v>1085</v>
      </c>
      <c r="C17" s="18" t="s">
        <v>86</v>
      </c>
      <c r="D17" s="18" t="s">
        <v>2416</v>
      </c>
      <c r="E17" s="18" t="s">
        <v>2417</v>
      </c>
      <c r="F17" s="8" t="s">
        <v>1086</v>
      </c>
      <c r="G17" s="20" t="s">
        <v>1057</v>
      </c>
    </row>
    <row r="18" spans="1:7" ht="16.5">
      <c r="A18" s="8">
        <v>11</v>
      </c>
      <c r="B18" s="8" t="s">
        <v>1087</v>
      </c>
      <c r="C18" s="18" t="s">
        <v>88</v>
      </c>
      <c r="D18" s="18" t="s">
        <v>792</v>
      </c>
      <c r="E18" s="18" t="s">
        <v>2088</v>
      </c>
      <c r="F18" s="8" t="s">
        <v>1088</v>
      </c>
      <c r="G18" s="20" t="s">
        <v>1058</v>
      </c>
    </row>
    <row r="19" spans="1:7" ht="16.5">
      <c r="A19" s="8">
        <v>12</v>
      </c>
      <c r="B19" s="8" t="s">
        <v>1089</v>
      </c>
      <c r="C19" s="18" t="s">
        <v>90</v>
      </c>
      <c r="D19" s="18" t="s">
        <v>2408</v>
      </c>
      <c r="E19" s="78" t="s">
        <v>2411</v>
      </c>
      <c r="F19" s="8" t="s">
        <v>1090</v>
      </c>
      <c r="G19" s="20" t="s">
        <v>1059</v>
      </c>
    </row>
    <row r="20" spans="1:7" ht="16.5">
      <c r="A20" s="8">
        <v>13</v>
      </c>
      <c r="B20" s="8" t="s">
        <v>1091</v>
      </c>
      <c r="C20" s="18" t="s">
        <v>786</v>
      </c>
      <c r="D20" s="18">
        <v>54</v>
      </c>
      <c r="E20" s="18" t="s">
        <v>985</v>
      </c>
      <c r="F20" s="8" t="s">
        <v>1092</v>
      </c>
      <c r="G20" s="20" t="s">
        <v>1101</v>
      </c>
    </row>
    <row r="21" spans="1:7" ht="16.5">
      <c r="A21" s="8">
        <v>14</v>
      </c>
      <c r="B21" s="8" t="s">
        <v>1097</v>
      </c>
      <c r="C21" s="18" t="s">
        <v>1095</v>
      </c>
      <c r="D21" s="18">
        <v>62</v>
      </c>
      <c r="E21" s="18" t="s">
        <v>985</v>
      </c>
      <c r="F21" s="8" t="s">
        <v>1096</v>
      </c>
      <c r="G21" s="20" t="s">
        <v>1060</v>
      </c>
    </row>
    <row r="22" spans="1:7" ht="16.5">
      <c r="A22" s="8">
        <v>15</v>
      </c>
      <c r="B22" s="8" t="s">
        <v>1098</v>
      </c>
      <c r="C22" s="18" t="s">
        <v>1099</v>
      </c>
      <c r="D22" s="18" t="s">
        <v>1115</v>
      </c>
      <c r="E22" s="18" t="s">
        <v>1116</v>
      </c>
      <c r="F22" s="8" t="s">
        <v>1100</v>
      </c>
      <c r="G22" s="4" t="s">
        <v>1102</v>
      </c>
    </row>
  </sheetData>
  <phoneticPr fontId="15" type="noConversion"/>
  <conditionalFormatting sqref="C3:E7">
    <cfRule type="containsText" dxfId="228" priority="21" operator="containsText" text="请填写">
      <formula>NOT(ISERROR(SEARCH("请填写",C3)))</formula>
    </cfRule>
  </conditionalFormatting>
  <conditionalFormatting sqref="F3:F7">
    <cfRule type="containsText" dxfId="227" priority="17" operator="containsText" text="请填写">
      <formula>NOT(ISERROR(SEARCH("请填写",F3)))</formula>
    </cfRule>
  </conditionalFormatting>
  <conditionalFormatting sqref="G3:G7">
    <cfRule type="containsText" dxfId="226" priority="15" operator="containsText" text="请填写">
      <formula>NOT(ISERROR(SEARCH("请填写",G3)))</formula>
    </cfRule>
    <cfRule type="containsText" dxfId="225" priority="16" operator="containsText" text="请填写">
      <formula>NOT(ISERROR(SEARCH("请填写",G3)))</formula>
    </cfRule>
  </conditionalFormatting>
  <conditionalFormatting sqref="A3:A7">
    <cfRule type="containsText" dxfId="224" priority="31" operator="containsText" text="请填写">
      <formula>NOT(ISERROR(SEARCH("请填写",A3)))</formula>
    </cfRule>
    <cfRule type="containsText" dxfId="223" priority="37" operator="containsText" text="请填写">
      <formula>NOT(ISERROR(SEARCH("请填写",A3)))</formula>
    </cfRule>
  </conditionalFormatting>
  <conditionalFormatting sqref="D3:D7">
    <cfRule type="containsText" dxfId="222" priority="7" operator="containsText" text="请填写">
      <formula>NOT(ISERROR(SEARCH("请填写",D3)))</formula>
    </cfRule>
  </conditionalFormatting>
  <conditionalFormatting sqref="E3:E7">
    <cfRule type="containsText" dxfId="221" priority="5" operator="containsText" text="请填写">
      <formula>NOT(ISERROR(SEARCH("请填写",E3)))</formula>
    </cfRule>
    <cfRule type="containsText" dxfId="220" priority="6" operator="containsText" text="请填写">
      <formula>NOT(ISERROR(SEARCH("请填写",E3)))</formula>
    </cfRule>
  </conditionalFormatting>
  <conditionalFormatting sqref="B3:B7">
    <cfRule type="containsText" dxfId="219" priority="1" operator="containsText" text="请填写">
      <formula>NOT(ISERROR(SEARCH("请填写",B3)))</formula>
    </cfRule>
    <cfRule type="containsText" dxfId="218" priority="3" operator="containsText" text="请填写">
      <formula>NOT(ISERROR(SEARCH("请填写",B3)))</formula>
    </cfRule>
  </conditionalFormatting>
  <conditionalFormatting sqref="C3:C7">
    <cfRule type="containsText" dxfId="217" priority="2" operator="containsText" text="请填写">
      <formula>NOT(ISERROR(SEARCH("请填写",C3)))</formula>
    </cfRule>
  </conditionalFormatting>
  <dataValidations count="3">
    <dataValidation type="list" allowBlank="1" showInputMessage="1" showErrorMessage="1" sqref="A3" xr:uid="{00000000-0002-0000-0500-000000000000}">
      <formula1>"string,transtring,float,uint32,bool,int32"</formula1>
    </dataValidation>
    <dataValidation type="list" allowBlank="1" showInputMessage="1" showErrorMessage="1" sqref="B3:G3" xr:uid="{00000000-0002-0000-0500-000001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G4" xr:uid="{00000000-0002-0000-0500-000002000000}">
      <formula1>"All,Server,Client,None"</formula1>
    </dataValidation>
  </dataValidations>
  <pageMargins left="0.7" right="0.7" top="0.75" bottom="0.75" header="0.3" footer="0.3"/>
  <pageSetup paperSize="9" orientation="portrait"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141"/>
  <sheetViews>
    <sheetView topLeftCell="A100" workbookViewId="0">
      <selection activeCell="D134" sqref="D134:D141"/>
    </sheetView>
  </sheetViews>
  <sheetFormatPr defaultRowHeight="13.5"/>
  <cols>
    <col min="1" max="1" width="12" customWidth="1"/>
    <col min="2" max="2" width="11.25" customWidth="1"/>
    <col min="3" max="3" width="26.75" customWidth="1"/>
    <col min="4" max="4" width="45.75" customWidth="1"/>
  </cols>
  <sheetData>
    <row r="1" spans="1:5">
      <c r="A1" s="3" t="s">
        <v>36</v>
      </c>
      <c r="B1" s="3" t="s">
        <v>845</v>
      </c>
      <c r="C1" s="64" t="s">
        <v>799</v>
      </c>
      <c r="D1" s="6" t="s">
        <v>800</v>
      </c>
    </row>
    <row r="2" spans="1:5">
      <c r="A2" s="3" t="s">
        <v>41</v>
      </c>
      <c r="B2" s="3" t="s">
        <v>67</v>
      </c>
      <c r="C2" s="64" t="s">
        <v>823</v>
      </c>
      <c r="D2" s="6" t="s">
        <v>801</v>
      </c>
    </row>
    <row r="3" spans="1:5">
      <c r="A3" s="3" t="s">
        <v>46</v>
      </c>
      <c r="B3" s="3" t="s">
        <v>46</v>
      </c>
      <c r="C3" s="64" t="s">
        <v>46</v>
      </c>
      <c r="D3" s="6" t="s">
        <v>802</v>
      </c>
    </row>
    <row r="4" spans="1:5">
      <c r="A4" s="3" t="s">
        <v>48</v>
      </c>
      <c r="B4" s="3" t="s">
        <v>48</v>
      </c>
      <c r="C4" s="64" t="s">
        <v>48</v>
      </c>
      <c r="D4" s="6" t="s">
        <v>48</v>
      </c>
    </row>
    <row r="5" spans="1:5" ht="27">
      <c r="A5" s="3"/>
      <c r="B5" s="3"/>
      <c r="C5" s="64" t="s">
        <v>794</v>
      </c>
      <c r="D5" s="6" t="s">
        <v>803</v>
      </c>
    </row>
    <row r="6" spans="1:5" ht="27">
      <c r="A6" s="3"/>
      <c r="B6" s="3"/>
      <c r="C6" s="64" t="s">
        <v>795</v>
      </c>
      <c r="D6" s="6"/>
    </row>
    <row r="7" spans="1:5">
      <c r="A7" s="3" t="s">
        <v>8</v>
      </c>
      <c r="B7" s="3" t="s">
        <v>8</v>
      </c>
      <c r="C7" s="64" t="s">
        <v>796</v>
      </c>
      <c r="D7" s="6" t="s">
        <v>804</v>
      </c>
    </row>
    <row r="8" spans="1:5" ht="16.5">
      <c r="A8" s="13">
        <v>1</v>
      </c>
      <c r="B8" s="161">
        <v>1</v>
      </c>
      <c r="C8" s="161">
        <v>5</v>
      </c>
      <c r="D8" s="161" t="s">
        <v>1985</v>
      </c>
      <c r="E8">
        <f>VLOOKUP(B8,配置公式2!$N$5:$O$19,2,FALSE)*100+C8</f>
        <v>205</v>
      </c>
    </row>
    <row r="9" spans="1:5" ht="16.5">
      <c r="A9" s="13">
        <v>2</v>
      </c>
      <c r="B9" s="161">
        <v>1</v>
      </c>
      <c r="C9" s="161">
        <v>10</v>
      </c>
      <c r="D9" s="161" t="s">
        <v>1986</v>
      </c>
      <c r="E9">
        <f>VLOOKUP(B9,配置公式2!$N$5:$O$19,2,FALSE)*100+C9</f>
        <v>210</v>
      </c>
    </row>
    <row r="10" spans="1:5" ht="16.5">
      <c r="A10" s="13">
        <v>3</v>
      </c>
      <c r="B10" s="161">
        <v>1</v>
      </c>
      <c r="C10" s="161">
        <v>15</v>
      </c>
      <c r="D10" s="161" t="s">
        <v>1987</v>
      </c>
      <c r="E10">
        <f>VLOOKUP(B10,配置公式2!$N$5:$O$19,2,FALSE)*100+C10</f>
        <v>215</v>
      </c>
    </row>
    <row r="11" spans="1:5" ht="16.5">
      <c r="A11" s="13">
        <v>4</v>
      </c>
      <c r="B11" s="161">
        <v>1</v>
      </c>
      <c r="C11" s="161">
        <v>20</v>
      </c>
      <c r="D11" s="161" t="s">
        <v>1988</v>
      </c>
      <c r="E11">
        <f>VLOOKUP(B11,配置公式2!$N$5:$O$19,2,FALSE)*100+C11</f>
        <v>220</v>
      </c>
    </row>
    <row r="12" spans="1:5" ht="16.5">
      <c r="A12" s="13">
        <v>5</v>
      </c>
      <c r="B12" s="161">
        <v>1</v>
      </c>
      <c r="C12" s="161">
        <v>25</v>
      </c>
      <c r="D12" s="161" t="s">
        <v>1989</v>
      </c>
      <c r="E12">
        <f>VLOOKUP(B12,配置公式2!$N$5:$O$19,2,FALSE)*100+C12</f>
        <v>225</v>
      </c>
    </row>
    <row r="13" spans="1:5" ht="16.5">
      <c r="A13" s="13">
        <v>6</v>
      </c>
      <c r="B13" s="161">
        <v>1</v>
      </c>
      <c r="C13" s="161">
        <v>30</v>
      </c>
      <c r="D13" s="161" t="s">
        <v>1990</v>
      </c>
      <c r="E13">
        <f>VLOOKUP(B13,配置公式2!$N$5:$O$19,2,FALSE)*100+C13</f>
        <v>230</v>
      </c>
    </row>
    <row r="14" spans="1:5" ht="16.5">
      <c r="A14" s="13">
        <v>7</v>
      </c>
      <c r="B14" s="161">
        <v>1</v>
      </c>
      <c r="C14" s="161">
        <v>35</v>
      </c>
      <c r="D14" s="161" t="s">
        <v>1991</v>
      </c>
      <c r="E14">
        <f>VLOOKUP(B14,配置公式2!$N$5:$O$19,2,FALSE)*100+C14</f>
        <v>235</v>
      </c>
    </row>
    <row r="15" spans="1:5" ht="16.5">
      <c r="A15" s="13">
        <v>8</v>
      </c>
      <c r="B15" s="161">
        <v>1</v>
      </c>
      <c r="C15" s="161">
        <v>40</v>
      </c>
      <c r="D15" s="161" t="s">
        <v>1992</v>
      </c>
      <c r="E15">
        <f>VLOOKUP(B15,配置公式2!$N$5:$O$19,2,FALSE)*100+C15</f>
        <v>240</v>
      </c>
    </row>
    <row r="16" spans="1:5" ht="16.5">
      <c r="A16" s="13">
        <v>9</v>
      </c>
      <c r="B16" s="161">
        <v>2</v>
      </c>
      <c r="C16" s="161">
        <v>5</v>
      </c>
      <c r="D16" s="161" t="s">
        <v>1993</v>
      </c>
      <c r="E16">
        <f>VLOOKUP(B16,配置公式2!$N$5:$O$19,2,FALSE)*100+C16</f>
        <v>305</v>
      </c>
    </row>
    <row r="17" spans="1:5" ht="16.5">
      <c r="A17" s="13">
        <v>10</v>
      </c>
      <c r="B17" s="161">
        <v>2</v>
      </c>
      <c r="C17" s="161">
        <v>10</v>
      </c>
      <c r="D17" s="161" t="s">
        <v>1994</v>
      </c>
      <c r="E17">
        <f>VLOOKUP(B17,配置公式2!$N$5:$O$19,2,FALSE)*100+C17</f>
        <v>310</v>
      </c>
    </row>
    <row r="18" spans="1:5" ht="16.5">
      <c r="A18" s="13">
        <v>11</v>
      </c>
      <c r="B18" s="161">
        <v>2</v>
      </c>
      <c r="C18" s="161">
        <v>15</v>
      </c>
      <c r="D18" s="161" t="s">
        <v>1995</v>
      </c>
      <c r="E18">
        <f>VLOOKUP(B18,配置公式2!$N$5:$O$19,2,FALSE)*100+C18</f>
        <v>315</v>
      </c>
    </row>
    <row r="19" spans="1:5" ht="16.5">
      <c r="A19" s="13">
        <v>12</v>
      </c>
      <c r="B19" s="161">
        <v>2</v>
      </c>
      <c r="C19" s="161">
        <v>20</v>
      </c>
      <c r="D19" s="161" t="s">
        <v>1996</v>
      </c>
      <c r="E19">
        <f>VLOOKUP(B19,配置公式2!$N$5:$O$19,2,FALSE)*100+C19</f>
        <v>320</v>
      </c>
    </row>
    <row r="20" spans="1:5" ht="16.5">
      <c r="A20" s="13">
        <v>13</v>
      </c>
      <c r="B20" s="161">
        <v>2</v>
      </c>
      <c r="C20" s="161">
        <v>25</v>
      </c>
      <c r="D20" s="161" t="s">
        <v>1997</v>
      </c>
      <c r="E20">
        <f>VLOOKUP(B20,配置公式2!$N$5:$O$19,2,FALSE)*100+C20</f>
        <v>325</v>
      </c>
    </row>
    <row r="21" spans="1:5" ht="16.5">
      <c r="A21" s="13">
        <v>14</v>
      </c>
      <c r="B21" s="161">
        <v>2</v>
      </c>
      <c r="C21" s="161">
        <v>30</v>
      </c>
      <c r="D21" s="161" t="s">
        <v>1998</v>
      </c>
      <c r="E21">
        <f>VLOOKUP(B21,配置公式2!$N$5:$O$19,2,FALSE)*100+C21</f>
        <v>330</v>
      </c>
    </row>
    <row r="22" spans="1:5" ht="16.5">
      <c r="A22" s="13">
        <v>15</v>
      </c>
      <c r="B22" s="161">
        <v>2</v>
      </c>
      <c r="C22" s="161">
        <v>35</v>
      </c>
      <c r="D22" s="161" t="s">
        <v>1999</v>
      </c>
      <c r="E22">
        <f>VLOOKUP(B22,配置公式2!$N$5:$O$19,2,FALSE)*100+C22</f>
        <v>335</v>
      </c>
    </row>
    <row r="23" spans="1:5" ht="16.5">
      <c r="A23" s="13">
        <v>16</v>
      </c>
      <c r="B23" s="161">
        <v>2</v>
      </c>
      <c r="C23" s="161">
        <v>40</v>
      </c>
      <c r="D23" s="161" t="s">
        <v>2000</v>
      </c>
      <c r="E23">
        <f>VLOOKUP(B23,配置公式2!$N$5:$O$19,2,FALSE)*100+C23</f>
        <v>340</v>
      </c>
    </row>
    <row r="24" spans="1:5" ht="16.5">
      <c r="A24" s="13">
        <v>17</v>
      </c>
      <c r="B24" s="161">
        <v>3</v>
      </c>
      <c r="C24" s="161">
        <v>5</v>
      </c>
      <c r="D24" s="161" t="s">
        <v>2001</v>
      </c>
      <c r="E24">
        <f>VLOOKUP(B24,配置公式2!$N$5:$O$19,2,FALSE)*100+C24</f>
        <v>105</v>
      </c>
    </row>
    <row r="25" spans="1:5" ht="16.5">
      <c r="A25" s="13">
        <v>18</v>
      </c>
      <c r="B25" s="161">
        <v>3</v>
      </c>
      <c r="C25" s="161">
        <v>10</v>
      </c>
      <c r="D25" s="161" t="s">
        <v>2002</v>
      </c>
      <c r="E25">
        <f>VLOOKUP(B25,配置公式2!$N$5:$O$19,2,FALSE)*100+C25</f>
        <v>110</v>
      </c>
    </row>
    <row r="26" spans="1:5" ht="16.5">
      <c r="A26" s="13">
        <v>19</v>
      </c>
      <c r="B26" s="161">
        <v>3</v>
      </c>
      <c r="C26" s="161">
        <v>15</v>
      </c>
      <c r="D26" s="161" t="s">
        <v>2003</v>
      </c>
      <c r="E26">
        <f>VLOOKUP(B26,配置公式2!$N$5:$O$19,2,FALSE)*100+C26</f>
        <v>115</v>
      </c>
    </row>
    <row r="27" spans="1:5" ht="16.5">
      <c r="A27" s="13">
        <v>20</v>
      </c>
      <c r="B27" s="161">
        <v>3</v>
      </c>
      <c r="C27" s="161">
        <v>20</v>
      </c>
      <c r="D27" s="161" t="s">
        <v>2004</v>
      </c>
      <c r="E27">
        <f>VLOOKUP(B27,配置公式2!$N$5:$O$19,2,FALSE)*100+C27</f>
        <v>120</v>
      </c>
    </row>
    <row r="28" spans="1:5" ht="16.5">
      <c r="A28" s="13">
        <v>21</v>
      </c>
      <c r="B28" s="161">
        <v>3</v>
      </c>
      <c r="C28" s="161">
        <v>25</v>
      </c>
      <c r="D28" s="161" t="s">
        <v>2005</v>
      </c>
      <c r="E28">
        <f>VLOOKUP(B28,配置公式2!$N$5:$O$19,2,FALSE)*100+C28</f>
        <v>125</v>
      </c>
    </row>
    <row r="29" spans="1:5" ht="16.5">
      <c r="A29" s="13">
        <v>22</v>
      </c>
      <c r="B29" s="161">
        <v>3</v>
      </c>
      <c r="C29" s="161">
        <v>30</v>
      </c>
      <c r="D29" s="161" t="s">
        <v>2006</v>
      </c>
      <c r="E29">
        <f>VLOOKUP(B29,配置公式2!$N$5:$O$19,2,FALSE)*100+C29</f>
        <v>130</v>
      </c>
    </row>
    <row r="30" spans="1:5" ht="16.5">
      <c r="A30" s="13">
        <v>23</v>
      </c>
      <c r="B30" s="161">
        <v>3</v>
      </c>
      <c r="C30" s="161">
        <v>35</v>
      </c>
      <c r="D30" s="161" t="s">
        <v>2007</v>
      </c>
      <c r="E30">
        <f>VLOOKUP(B30,配置公式2!$N$5:$O$19,2,FALSE)*100+C30</f>
        <v>135</v>
      </c>
    </row>
    <row r="31" spans="1:5" ht="16.5">
      <c r="A31" s="13">
        <v>24</v>
      </c>
      <c r="B31" s="161">
        <v>3</v>
      </c>
      <c r="C31" s="161">
        <v>40</v>
      </c>
      <c r="D31" s="161" t="s">
        <v>2008</v>
      </c>
      <c r="E31">
        <f>VLOOKUP(B31,配置公式2!$N$5:$O$19,2,FALSE)*100+C31</f>
        <v>140</v>
      </c>
    </row>
    <row r="32" spans="1:5" ht="16.5">
      <c r="A32" s="13">
        <v>25</v>
      </c>
      <c r="B32" s="161">
        <v>3</v>
      </c>
      <c r="C32" s="161">
        <v>45</v>
      </c>
      <c r="D32" s="161" t="s">
        <v>2200</v>
      </c>
      <c r="E32" s="185">
        <f>VLOOKUP(B32,配置公式2!$N$5:$O$19,2,FALSE)*100+C32</f>
        <v>145</v>
      </c>
    </row>
    <row r="33" spans="1:5" ht="16.5">
      <c r="A33" s="13">
        <v>26</v>
      </c>
      <c r="B33" s="161">
        <v>3</v>
      </c>
      <c r="C33" s="161">
        <v>50</v>
      </c>
      <c r="D33" s="161" t="s">
        <v>2201</v>
      </c>
      <c r="E33" s="185">
        <f>VLOOKUP(B33,配置公式2!$N$5:$O$19,2,FALSE)*100+C33</f>
        <v>150</v>
      </c>
    </row>
    <row r="34" spans="1:5" ht="16.5">
      <c r="A34" s="13">
        <v>27</v>
      </c>
      <c r="B34" s="161">
        <v>4</v>
      </c>
      <c r="C34" s="161">
        <v>5</v>
      </c>
      <c r="D34" s="161" t="s">
        <v>2001</v>
      </c>
      <c r="E34">
        <f>VLOOKUP(B34,配置公式2!$N$5:$O$19,2,FALSE)*100+C34</f>
        <v>105</v>
      </c>
    </row>
    <row r="35" spans="1:5" ht="16.5">
      <c r="A35" s="13">
        <v>28</v>
      </c>
      <c r="B35" s="161">
        <v>4</v>
      </c>
      <c r="C35" s="161">
        <v>10</v>
      </c>
      <c r="D35" s="161" t="s">
        <v>2002</v>
      </c>
      <c r="E35">
        <f>VLOOKUP(B35,配置公式2!$N$5:$O$19,2,FALSE)*100+C35</f>
        <v>110</v>
      </c>
    </row>
    <row r="36" spans="1:5" ht="16.5">
      <c r="A36" s="13">
        <v>29</v>
      </c>
      <c r="B36" s="161">
        <v>4</v>
      </c>
      <c r="C36" s="161">
        <v>15</v>
      </c>
      <c r="D36" s="161" t="s">
        <v>2003</v>
      </c>
      <c r="E36">
        <f>VLOOKUP(B36,配置公式2!$N$5:$O$19,2,FALSE)*100+C36</f>
        <v>115</v>
      </c>
    </row>
    <row r="37" spans="1:5" ht="16.5">
      <c r="A37" s="13">
        <v>30</v>
      </c>
      <c r="B37" s="161">
        <v>4</v>
      </c>
      <c r="C37" s="161">
        <v>20</v>
      </c>
      <c r="D37" s="161" t="s">
        <v>2004</v>
      </c>
      <c r="E37">
        <f>VLOOKUP(B37,配置公式2!$N$5:$O$19,2,FALSE)*100+C37</f>
        <v>120</v>
      </c>
    </row>
    <row r="38" spans="1:5" ht="16.5">
      <c r="A38" s="13">
        <v>31</v>
      </c>
      <c r="B38" s="161">
        <v>4</v>
      </c>
      <c r="C38" s="161">
        <v>25</v>
      </c>
      <c r="D38" s="161" t="s">
        <v>2005</v>
      </c>
      <c r="E38">
        <f>VLOOKUP(B38,配置公式2!$N$5:$O$19,2,FALSE)*100+C38</f>
        <v>125</v>
      </c>
    </row>
    <row r="39" spans="1:5" ht="16.5">
      <c r="A39" s="13">
        <v>32</v>
      </c>
      <c r="B39" s="161">
        <v>4</v>
      </c>
      <c r="C39" s="161">
        <v>30</v>
      </c>
      <c r="D39" s="161" t="s">
        <v>2006</v>
      </c>
      <c r="E39">
        <f>VLOOKUP(B39,配置公式2!$N$5:$O$19,2,FALSE)*100+C39</f>
        <v>130</v>
      </c>
    </row>
    <row r="40" spans="1:5" ht="16.5">
      <c r="A40" s="13">
        <v>33</v>
      </c>
      <c r="B40" s="161">
        <v>4</v>
      </c>
      <c r="C40" s="161">
        <v>35</v>
      </c>
      <c r="D40" s="161" t="s">
        <v>2007</v>
      </c>
      <c r="E40">
        <f>VLOOKUP(B40,配置公式2!$N$5:$O$19,2,FALSE)*100+C40</f>
        <v>135</v>
      </c>
    </row>
    <row r="41" spans="1:5" ht="16.5">
      <c r="A41" s="13">
        <v>34</v>
      </c>
      <c r="B41" s="161">
        <v>4</v>
      </c>
      <c r="C41" s="161">
        <v>40</v>
      </c>
      <c r="D41" s="161" t="s">
        <v>2008</v>
      </c>
      <c r="E41">
        <f>VLOOKUP(B41,配置公式2!$N$5:$O$19,2,FALSE)*100+C41</f>
        <v>140</v>
      </c>
    </row>
    <row r="42" spans="1:5" ht="16.5">
      <c r="A42" s="13">
        <v>35</v>
      </c>
      <c r="B42" s="161">
        <v>5</v>
      </c>
      <c r="C42" s="161">
        <v>5</v>
      </c>
      <c r="D42" s="161" t="s">
        <v>2001</v>
      </c>
      <c r="E42">
        <f>VLOOKUP(B42,配置公式2!$N$5:$O$19,2,FALSE)*100+C42</f>
        <v>105</v>
      </c>
    </row>
    <row r="43" spans="1:5" ht="16.5">
      <c r="A43" s="13">
        <v>36</v>
      </c>
      <c r="B43" s="161">
        <v>5</v>
      </c>
      <c r="C43" s="161">
        <v>10</v>
      </c>
      <c r="D43" s="161" t="s">
        <v>2002</v>
      </c>
      <c r="E43">
        <f>VLOOKUP(B43,配置公式2!$N$5:$O$19,2,FALSE)*100+C43</f>
        <v>110</v>
      </c>
    </row>
    <row r="44" spans="1:5" ht="16.5">
      <c r="A44" s="13">
        <v>37</v>
      </c>
      <c r="B44" s="161">
        <v>5</v>
      </c>
      <c r="C44" s="161">
        <v>15</v>
      </c>
      <c r="D44" s="161" t="s">
        <v>2003</v>
      </c>
      <c r="E44">
        <f>VLOOKUP(B44,配置公式2!$N$5:$O$19,2,FALSE)*100+C44</f>
        <v>115</v>
      </c>
    </row>
    <row r="45" spans="1:5" ht="16.5">
      <c r="A45" s="13">
        <v>38</v>
      </c>
      <c r="B45" s="161">
        <v>5</v>
      </c>
      <c r="C45" s="161">
        <v>20</v>
      </c>
      <c r="D45" s="161" t="s">
        <v>2004</v>
      </c>
      <c r="E45">
        <f>VLOOKUP(B45,配置公式2!$N$5:$O$19,2,FALSE)*100+C45</f>
        <v>120</v>
      </c>
    </row>
    <row r="46" spans="1:5" ht="16.5">
      <c r="A46" s="13">
        <v>39</v>
      </c>
      <c r="B46" s="161">
        <v>5</v>
      </c>
      <c r="C46" s="161">
        <v>25</v>
      </c>
      <c r="D46" s="161" t="s">
        <v>2005</v>
      </c>
      <c r="E46">
        <f>VLOOKUP(B46,配置公式2!$N$5:$O$19,2,FALSE)*100+C46</f>
        <v>125</v>
      </c>
    </row>
    <row r="47" spans="1:5" ht="16.5">
      <c r="A47" s="13">
        <v>40</v>
      </c>
      <c r="B47" s="161">
        <v>5</v>
      </c>
      <c r="C47" s="161">
        <v>30</v>
      </c>
      <c r="D47" s="161" t="s">
        <v>2006</v>
      </c>
      <c r="E47">
        <f>VLOOKUP(B47,配置公式2!$N$5:$O$19,2,FALSE)*100+C47</f>
        <v>130</v>
      </c>
    </row>
    <row r="48" spans="1:5" ht="16.5">
      <c r="A48" s="13">
        <v>41</v>
      </c>
      <c r="B48" s="161">
        <v>5</v>
      </c>
      <c r="C48" s="161">
        <v>35</v>
      </c>
      <c r="D48" s="161" t="s">
        <v>2007</v>
      </c>
      <c r="E48">
        <f>VLOOKUP(B48,配置公式2!$N$5:$O$19,2,FALSE)*100+C48</f>
        <v>135</v>
      </c>
    </row>
    <row r="49" spans="1:5" ht="16.5">
      <c r="A49" s="13">
        <v>42</v>
      </c>
      <c r="B49" s="161">
        <v>5</v>
      </c>
      <c r="C49" s="161">
        <v>40</v>
      </c>
      <c r="D49" s="161" t="s">
        <v>2008</v>
      </c>
      <c r="E49">
        <f>VLOOKUP(B49,配置公式2!$N$5:$O$19,2,FALSE)*100+C49</f>
        <v>140</v>
      </c>
    </row>
    <row r="50" spans="1:5" ht="16.5">
      <c r="A50" s="13">
        <v>43</v>
      </c>
      <c r="B50" s="161">
        <v>6</v>
      </c>
      <c r="C50" s="161">
        <v>5</v>
      </c>
      <c r="D50" s="161" t="s">
        <v>1985</v>
      </c>
      <c r="E50">
        <f>VLOOKUP(B50,配置公式2!$N$5:$O$19,2,FALSE)*100+C50</f>
        <v>205</v>
      </c>
    </row>
    <row r="51" spans="1:5" ht="16.5">
      <c r="A51" s="13">
        <v>44</v>
      </c>
      <c r="B51" s="161">
        <v>6</v>
      </c>
      <c r="C51" s="161">
        <v>10</v>
      </c>
      <c r="D51" s="161" t="s">
        <v>1986</v>
      </c>
      <c r="E51">
        <f>VLOOKUP(B51,配置公式2!$N$5:$O$19,2,FALSE)*100+C51</f>
        <v>210</v>
      </c>
    </row>
    <row r="52" spans="1:5" ht="16.5">
      <c r="A52" s="13">
        <v>45</v>
      </c>
      <c r="B52" s="161">
        <v>6</v>
      </c>
      <c r="C52" s="161">
        <v>15</v>
      </c>
      <c r="D52" s="161" t="s">
        <v>1987</v>
      </c>
      <c r="E52">
        <f>VLOOKUP(B52,配置公式2!$N$5:$O$19,2,FALSE)*100+C52</f>
        <v>215</v>
      </c>
    </row>
    <row r="53" spans="1:5" ht="16.5">
      <c r="A53" s="13">
        <v>46</v>
      </c>
      <c r="B53" s="161">
        <v>6</v>
      </c>
      <c r="C53" s="161">
        <v>20</v>
      </c>
      <c r="D53" s="161" t="s">
        <v>1988</v>
      </c>
      <c r="E53">
        <f>VLOOKUP(B53,配置公式2!$N$5:$O$19,2,FALSE)*100+C53</f>
        <v>220</v>
      </c>
    </row>
    <row r="54" spans="1:5" ht="16.5">
      <c r="A54" s="13">
        <v>47</v>
      </c>
      <c r="B54" s="161">
        <v>6</v>
      </c>
      <c r="C54" s="161">
        <v>25</v>
      </c>
      <c r="D54" s="161" t="s">
        <v>1989</v>
      </c>
      <c r="E54">
        <f>VLOOKUP(B54,配置公式2!$N$5:$O$19,2,FALSE)*100+C54</f>
        <v>225</v>
      </c>
    </row>
    <row r="55" spans="1:5" ht="16.5">
      <c r="A55" s="13">
        <v>48</v>
      </c>
      <c r="B55" s="161">
        <v>6</v>
      </c>
      <c r="C55" s="161">
        <v>30</v>
      </c>
      <c r="D55" s="161" t="s">
        <v>1990</v>
      </c>
      <c r="E55">
        <f>VLOOKUP(B55,配置公式2!$N$5:$O$19,2,FALSE)*100+C55</f>
        <v>230</v>
      </c>
    </row>
    <row r="56" spans="1:5" ht="16.5">
      <c r="A56" s="13">
        <v>49</v>
      </c>
      <c r="B56" s="16">
        <v>6</v>
      </c>
      <c r="C56" s="16">
        <v>35</v>
      </c>
      <c r="D56" s="161" t="s">
        <v>1991</v>
      </c>
      <c r="E56">
        <f>VLOOKUP(B56,配置公式2!$N$5:$O$19,2,FALSE)*100+C56</f>
        <v>235</v>
      </c>
    </row>
    <row r="57" spans="1:5" ht="16.5">
      <c r="A57" s="13">
        <v>50</v>
      </c>
      <c r="B57" s="16">
        <v>6</v>
      </c>
      <c r="C57" s="16">
        <v>40</v>
      </c>
      <c r="D57" s="161" t="s">
        <v>1992</v>
      </c>
      <c r="E57">
        <f>VLOOKUP(B57,配置公式2!$N$5:$O$19,2,FALSE)*100+C57</f>
        <v>240</v>
      </c>
    </row>
    <row r="58" spans="1:5" ht="16.5">
      <c r="A58" s="13">
        <v>51</v>
      </c>
      <c r="B58" s="16">
        <v>6</v>
      </c>
      <c r="C58" s="16">
        <v>45</v>
      </c>
      <c r="D58" s="161" t="s">
        <v>1991</v>
      </c>
      <c r="E58">
        <f>VLOOKUP(B58,配置公式2!$N$5:$O$19,2,FALSE)*100+C58</f>
        <v>245</v>
      </c>
    </row>
    <row r="59" spans="1:5" ht="16.5">
      <c r="A59" s="13">
        <v>52</v>
      </c>
      <c r="B59" s="16">
        <v>6</v>
      </c>
      <c r="C59" s="16">
        <v>50</v>
      </c>
      <c r="D59" s="161" t="s">
        <v>1992</v>
      </c>
      <c r="E59">
        <f>VLOOKUP(B59,配置公式2!$N$5:$O$19,2,FALSE)*100+C59</f>
        <v>250</v>
      </c>
    </row>
    <row r="60" spans="1:5" ht="16.5">
      <c r="A60" s="13">
        <v>53</v>
      </c>
      <c r="B60" s="16">
        <v>7</v>
      </c>
      <c r="C60" s="16">
        <v>5</v>
      </c>
      <c r="D60" s="161" t="s">
        <v>1985</v>
      </c>
      <c r="E60">
        <f>VLOOKUP(B60,配置公式2!$N$5:$O$19,2,FALSE)*100+C60</f>
        <v>205</v>
      </c>
    </row>
    <row r="61" spans="1:5" ht="16.5">
      <c r="A61" s="13">
        <v>54</v>
      </c>
      <c r="B61" s="16">
        <v>7</v>
      </c>
      <c r="C61" s="16">
        <v>10</v>
      </c>
      <c r="D61" s="161" t="s">
        <v>1986</v>
      </c>
      <c r="E61">
        <f>VLOOKUP(B61,配置公式2!$N$5:$O$19,2,FALSE)*100+C61</f>
        <v>210</v>
      </c>
    </row>
    <row r="62" spans="1:5" ht="16.5">
      <c r="A62" s="13">
        <v>55</v>
      </c>
      <c r="B62" s="16">
        <v>7</v>
      </c>
      <c r="C62" s="16">
        <v>15</v>
      </c>
      <c r="D62" s="161" t="s">
        <v>1987</v>
      </c>
      <c r="E62">
        <f>VLOOKUP(B62,配置公式2!$N$5:$O$19,2,FALSE)*100+C62</f>
        <v>215</v>
      </c>
    </row>
    <row r="63" spans="1:5" ht="16.5">
      <c r="A63" s="13">
        <v>56</v>
      </c>
      <c r="B63" s="16">
        <v>7</v>
      </c>
      <c r="C63" s="16">
        <v>20</v>
      </c>
      <c r="D63" s="161" t="s">
        <v>1988</v>
      </c>
      <c r="E63">
        <f>VLOOKUP(B63,配置公式2!$N$5:$O$19,2,FALSE)*100+C63</f>
        <v>220</v>
      </c>
    </row>
    <row r="64" spans="1:5" ht="16.5">
      <c r="A64" s="13">
        <v>57</v>
      </c>
      <c r="B64" s="16">
        <v>7</v>
      </c>
      <c r="C64" s="16">
        <v>25</v>
      </c>
      <c r="D64" s="161" t="s">
        <v>1989</v>
      </c>
      <c r="E64">
        <f>VLOOKUP(B64,配置公式2!$N$5:$O$19,2,FALSE)*100+C64</f>
        <v>225</v>
      </c>
    </row>
    <row r="65" spans="1:5" ht="16.5">
      <c r="A65" s="13">
        <v>58</v>
      </c>
      <c r="B65" s="16">
        <v>7</v>
      </c>
      <c r="C65" s="16">
        <v>30</v>
      </c>
      <c r="D65" s="161" t="s">
        <v>1990</v>
      </c>
      <c r="E65">
        <f>VLOOKUP(B65,配置公式2!$N$5:$O$19,2,FALSE)*100+C65</f>
        <v>230</v>
      </c>
    </row>
    <row r="66" spans="1:5" ht="16.5">
      <c r="A66" s="13">
        <v>59</v>
      </c>
      <c r="B66" s="16">
        <v>7</v>
      </c>
      <c r="C66" s="16">
        <v>35</v>
      </c>
      <c r="D66" s="161" t="s">
        <v>1991</v>
      </c>
      <c r="E66">
        <f>VLOOKUP(B66,配置公式2!$N$5:$O$19,2,FALSE)*100+C66</f>
        <v>235</v>
      </c>
    </row>
    <row r="67" spans="1:5" ht="16.5">
      <c r="A67" s="13">
        <v>60</v>
      </c>
      <c r="B67" s="16">
        <v>7</v>
      </c>
      <c r="C67" s="16">
        <v>40</v>
      </c>
      <c r="D67" s="161" t="s">
        <v>1992</v>
      </c>
      <c r="E67">
        <f>VLOOKUP(B67,配置公式2!$N$5:$O$19,2,FALSE)*100+C67</f>
        <v>240</v>
      </c>
    </row>
    <row r="68" spans="1:5" ht="16.5">
      <c r="A68" s="13">
        <v>61</v>
      </c>
      <c r="B68" s="16">
        <v>8</v>
      </c>
      <c r="C68" s="16">
        <v>5</v>
      </c>
      <c r="D68" s="161" t="s">
        <v>1985</v>
      </c>
      <c r="E68">
        <f>VLOOKUP(B68,配置公式2!$N$5:$O$19,2,FALSE)*100+C68</f>
        <v>205</v>
      </c>
    </row>
    <row r="69" spans="1:5" ht="16.5">
      <c r="A69" s="13">
        <v>62</v>
      </c>
      <c r="B69" s="16">
        <v>8</v>
      </c>
      <c r="C69" s="16">
        <v>10</v>
      </c>
      <c r="D69" s="161" t="s">
        <v>1986</v>
      </c>
      <c r="E69">
        <f>VLOOKUP(B69,配置公式2!$N$5:$O$19,2,FALSE)*100+C69</f>
        <v>210</v>
      </c>
    </row>
    <row r="70" spans="1:5" ht="16.5">
      <c r="A70" s="13">
        <v>63</v>
      </c>
      <c r="B70" s="16">
        <v>8</v>
      </c>
      <c r="C70" s="16">
        <v>15</v>
      </c>
      <c r="D70" s="161" t="s">
        <v>1987</v>
      </c>
      <c r="E70">
        <f>VLOOKUP(B70,配置公式2!$N$5:$O$19,2,FALSE)*100+C70</f>
        <v>215</v>
      </c>
    </row>
    <row r="71" spans="1:5" ht="16.5">
      <c r="A71" s="13">
        <v>64</v>
      </c>
      <c r="B71" s="16">
        <v>8</v>
      </c>
      <c r="C71" s="16">
        <v>20</v>
      </c>
      <c r="D71" s="161" t="s">
        <v>1988</v>
      </c>
      <c r="E71">
        <f>VLOOKUP(B71,配置公式2!$N$5:$O$19,2,FALSE)*100+C71</f>
        <v>220</v>
      </c>
    </row>
    <row r="72" spans="1:5" ht="16.5">
      <c r="A72" s="13">
        <v>65</v>
      </c>
      <c r="B72" s="16">
        <v>8</v>
      </c>
      <c r="C72" s="16">
        <v>25</v>
      </c>
      <c r="D72" s="161" t="s">
        <v>1989</v>
      </c>
      <c r="E72">
        <f>VLOOKUP(B72,配置公式2!$N$5:$O$19,2,FALSE)*100+C72</f>
        <v>225</v>
      </c>
    </row>
    <row r="73" spans="1:5" ht="16.5">
      <c r="A73" s="13">
        <v>66</v>
      </c>
      <c r="B73" s="16">
        <v>8</v>
      </c>
      <c r="C73" s="16">
        <v>30</v>
      </c>
      <c r="D73" s="161" t="s">
        <v>1990</v>
      </c>
      <c r="E73">
        <f>VLOOKUP(B73,配置公式2!$N$5:$O$19,2,FALSE)*100+C73</f>
        <v>230</v>
      </c>
    </row>
    <row r="74" spans="1:5" ht="16.5">
      <c r="A74" s="13">
        <v>67</v>
      </c>
      <c r="B74" s="16">
        <v>8</v>
      </c>
      <c r="C74" s="16">
        <v>35</v>
      </c>
      <c r="D74" s="161" t="s">
        <v>1991</v>
      </c>
      <c r="E74">
        <f>VLOOKUP(B74,配置公式2!$N$5:$O$19,2,FALSE)*100+C74</f>
        <v>235</v>
      </c>
    </row>
    <row r="75" spans="1:5" ht="16.5">
      <c r="A75" s="13">
        <v>68</v>
      </c>
      <c r="B75" s="16">
        <v>8</v>
      </c>
      <c r="C75" s="16">
        <v>40</v>
      </c>
      <c r="D75" s="161" t="s">
        <v>1992</v>
      </c>
      <c r="E75">
        <f>VLOOKUP(B75,配置公式2!$N$5:$O$19,2,FALSE)*100+C75</f>
        <v>240</v>
      </c>
    </row>
    <row r="76" spans="1:5" ht="16.5">
      <c r="A76" s="13">
        <v>69</v>
      </c>
      <c r="B76" s="16">
        <v>9</v>
      </c>
      <c r="C76" s="16">
        <v>5</v>
      </c>
      <c r="D76" s="161" t="s">
        <v>1993</v>
      </c>
      <c r="E76">
        <f>VLOOKUP(B76,配置公式2!$N$5:$O$19,2,FALSE)*100+C76</f>
        <v>305</v>
      </c>
    </row>
    <row r="77" spans="1:5" ht="16.5">
      <c r="A77" s="13">
        <v>70</v>
      </c>
      <c r="B77" s="16">
        <v>9</v>
      </c>
      <c r="C77" s="16">
        <v>10</v>
      </c>
      <c r="D77" s="161" t="s">
        <v>1994</v>
      </c>
      <c r="E77">
        <f>VLOOKUP(B77,配置公式2!$N$5:$O$19,2,FALSE)*100+C77</f>
        <v>310</v>
      </c>
    </row>
    <row r="78" spans="1:5" ht="16.5">
      <c r="A78" s="13">
        <v>71</v>
      </c>
      <c r="B78" s="16">
        <v>9</v>
      </c>
      <c r="C78" s="16">
        <v>15</v>
      </c>
      <c r="D78" s="161" t="s">
        <v>1995</v>
      </c>
      <c r="E78">
        <f>VLOOKUP(B78,配置公式2!$N$5:$O$19,2,FALSE)*100+C78</f>
        <v>315</v>
      </c>
    </row>
    <row r="79" spans="1:5" ht="16.5">
      <c r="A79" s="13">
        <v>72</v>
      </c>
      <c r="B79" s="16">
        <v>9</v>
      </c>
      <c r="C79" s="16">
        <v>20</v>
      </c>
      <c r="D79" s="161" t="s">
        <v>1996</v>
      </c>
      <c r="E79">
        <f>VLOOKUP(B79,配置公式2!$N$5:$O$19,2,FALSE)*100+C79</f>
        <v>320</v>
      </c>
    </row>
    <row r="80" spans="1:5" ht="16.5">
      <c r="A80" s="13">
        <v>73</v>
      </c>
      <c r="B80" s="16">
        <v>9</v>
      </c>
      <c r="C80" s="16">
        <v>25</v>
      </c>
      <c r="D80" s="161" t="s">
        <v>1997</v>
      </c>
      <c r="E80">
        <f>VLOOKUP(B80,配置公式2!$N$5:$O$19,2,FALSE)*100+C80</f>
        <v>325</v>
      </c>
    </row>
    <row r="81" spans="1:5" ht="16.5">
      <c r="A81" s="13">
        <v>74</v>
      </c>
      <c r="B81" s="16">
        <v>9</v>
      </c>
      <c r="C81" s="16">
        <v>30</v>
      </c>
      <c r="D81" s="161" t="s">
        <v>1998</v>
      </c>
      <c r="E81">
        <f>VLOOKUP(B81,配置公式2!$N$5:$O$19,2,FALSE)*100+C81</f>
        <v>330</v>
      </c>
    </row>
    <row r="82" spans="1:5" ht="16.5">
      <c r="A82" s="13">
        <v>75</v>
      </c>
      <c r="B82" s="16">
        <v>9</v>
      </c>
      <c r="C82" s="16">
        <v>35</v>
      </c>
      <c r="D82" s="161" t="s">
        <v>1999</v>
      </c>
      <c r="E82">
        <f>VLOOKUP(B82,配置公式2!$N$5:$O$19,2,FALSE)*100+C82</f>
        <v>335</v>
      </c>
    </row>
    <row r="83" spans="1:5" ht="16.5">
      <c r="A83" s="13">
        <v>76</v>
      </c>
      <c r="B83" s="16">
        <v>9</v>
      </c>
      <c r="C83" s="16">
        <v>40</v>
      </c>
      <c r="D83" s="161" t="s">
        <v>2000</v>
      </c>
      <c r="E83">
        <f>VLOOKUP(B83,配置公式2!$N$5:$O$19,2,FALSE)*100+C83</f>
        <v>340</v>
      </c>
    </row>
    <row r="84" spans="1:5" ht="16.5">
      <c r="A84" s="13">
        <v>77</v>
      </c>
      <c r="B84" s="16">
        <v>10</v>
      </c>
      <c r="C84" s="16">
        <v>5</v>
      </c>
      <c r="D84" s="161" t="s">
        <v>1993</v>
      </c>
      <c r="E84">
        <f>VLOOKUP(B84,配置公式2!$N$5:$O$19,2,FALSE)*100+C84</f>
        <v>305</v>
      </c>
    </row>
    <row r="85" spans="1:5" ht="16.5">
      <c r="A85" s="13">
        <v>78</v>
      </c>
      <c r="B85" s="16">
        <v>10</v>
      </c>
      <c r="C85" s="16">
        <v>10</v>
      </c>
      <c r="D85" s="161" t="s">
        <v>1994</v>
      </c>
      <c r="E85">
        <f>VLOOKUP(B85,配置公式2!$N$5:$O$19,2,FALSE)*100+C85</f>
        <v>310</v>
      </c>
    </row>
    <row r="86" spans="1:5" ht="16.5">
      <c r="A86" s="13">
        <v>79</v>
      </c>
      <c r="B86" s="16">
        <v>10</v>
      </c>
      <c r="C86" s="16">
        <v>15</v>
      </c>
      <c r="D86" s="161" t="s">
        <v>1995</v>
      </c>
      <c r="E86">
        <f>VLOOKUP(B86,配置公式2!$N$5:$O$19,2,FALSE)*100+C86</f>
        <v>315</v>
      </c>
    </row>
    <row r="87" spans="1:5" ht="16.5">
      <c r="A87" s="13">
        <v>80</v>
      </c>
      <c r="B87" s="16">
        <v>10</v>
      </c>
      <c r="C87" s="16">
        <v>20</v>
      </c>
      <c r="D87" s="161" t="s">
        <v>1996</v>
      </c>
      <c r="E87">
        <f>VLOOKUP(B87,配置公式2!$N$5:$O$19,2,FALSE)*100+C87</f>
        <v>320</v>
      </c>
    </row>
    <row r="88" spans="1:5" ht="16.5">
      <c r="A88" s="13">
        <v>81</v>
      </c>
      <c r="B88" s="16">
        <v>10</v>
      </c>
      <c r="C88" s="16">
        <v>25</v>
      </c>
      <c r="D88" s="161" t="s">
        <v>1997</v>
      </c>
      <c r="E88">
        <f>VLOOKUP(B88,配置公式2!$N$5:$O$19,2,FALSE)*100+C88</f>
        <v>325</v>
      </c>
    </row>
    <row r="89" spans="1:5" ht="16.5">
      <c r="A89" s="13">
        <v>82</v>
      </c>
      <c r="B89" s="16">
        <v>10</v>
      </c>
      <c r="C89" s="16">
        <v>30</v>
      </c>
      <c r="D89" s="161" t="s">
        <v>1998</v>
      </c>
      <c r="E89">
        <f>VLOOKUP(B89,配置公式2!$N$5:$O$19,2,FALSE)*100+C89</f>
        <v>330</v>
      </c>
    </row>
    <row r="90" spans="1:5" ht="16.5">
      <c r="A90" s="13">
        <v>83</v>
      </c>
      <c r="B90" s="16">
        <v>10</v>
      </c>
      <c r="C90" s="16">
        <v>35</v>
      </c>
      <c r="D90" s="161" t="s">
        <v>1999</v>
      </c>
      <c r="E90">
        <f>VLOOKUP(B90,配置公式2!$N$5:$O$19,2,FALSE)*100+C90</f>
        <v>335</v>
      </c>
    </row>
    <row r="91" spans="1:5" ht="16.5">
      <c r="A91" s="13">
        <v>84</v>
      </c>
      <c r="B91" s="16">
        <v>10</v>
      </c>
      <c r="C91" s="16">
        <v>40</v>
      </c>
      <c r="D91" s="161" t="s">
        <v>2000</v>
      </c>
      <c r="E91">
        <f>VLOOKUP(B91,配置公式2!$N$5:$O$19,2,FALSE)*100+C91</f>
        <v>340</v>
      </c>
    </row>
    <row r="92" spans="1:5" ht="16.5">
      <c r="A92" s="13">
        <v>85</v>
      </c>
      <c r="B92" s="16">
        <v>11</v>
      </c>
      <c r="C92" s="16">
        <v>5</v>
      </c>
      <c r="D92" s="161" t="s">
        <v>1985</v>
      </c>
      <c r="E92">
        <f>VLOOKUP(B92,配置公式2!$N$5:$O$19,2,FALSE)*100+C92</f>
        <v>205</v>
      </c>
    </row>
    <row r="93" spans="1:5" ht="16.5">
      <c r="A93" s="13">
        <v>86</v>
      </c>
      <c r="B93" s="16">
        <v>11</v>
      </c>
      <c r="C93" s="16">
        <v>10</v>
      </c>
      <c r="D93" s="161" t="s">
        <v>1986</v>
      </c>
      <c r="E93">
        <f>VLOOKUP(B93,配置公式2!$N$5:$O$19,2,FALSE)*100+C93</f>
        <v>210</v>
      </c>
    </row>
    <row r="94" spans="1:5" ht="16.5">
      <c r="A94" s="13">
        <v>87</v>
      </c>
      <c r="B94" s="16">
        <v>11</v>
      </c>
      <c r="C94" s="16">
        <v>15</v>
      </c>
      <c r="D94" s="161" t="s">
        <v>1987</v>
      </c>
      <c r="E94">
        <f>VLOOKUP(B94,配置公式2!$N$5:$O$19,2,FALSE)*100+C94</f>
        <v>215</v>
      </c>
    </row>
    <row r="95" spans="1:5" ht="16.5">
      <c r="A95" s="13">
        <v>88</v>
      </c>
      <c r="B95" s="16">
        <v>11</v>
      </c>
      <c r="C95" s="16">
        <v>20</v>
      </c>
      <c r="D95" s="161" t="s">
        <v>1988</v>
      </c>
      <c r="E95">
        <f>VLOOKUP(B95,配置公式2!$N$5:$O$19,2,FALSE)*100+C95</f>
        <v>220</v>
      </c>
    </row>
    <row r="96" spans="1:5" ht="16.5">
      <c r="A96" s="13">
        <v>89</v>
      </c>
      <c r="B96" s="16">
        <v>11</v>
      </c>
      <c r="C96" s="16">
        <v>25</v>
      </c>
      <c r="D96" s="161" t="s">
        <v>1989</v>
      </c>
      <c r="E96">
        <f>VLOOKUP(B96,配置公式2!$N$5:$O$19,2,FALSE)*100+C96</f>
        <v>225</v>
      </c>
    </row>
    <row r="97" spans="1:5" ht="16.5">
      <c r="A97" s="13">
        <v>90</v>
      </c>
      <c r="B97" s="16">
        <v>11</v>
      </c>
      <c r="C97" s="16">
        <v>30</v>
      </c>
      <c r="D97" s="161" t="s">
        <v>1990</v>
      </c>
      <c r="E97">
        <f>VLOOKUP(B97,配置公式2!$N$5:$O$19,2,FALSE)*100+C97</f>
        <v>230</v>
      </c>
    </row>
    <row r="98" spans="1:5" ht="16.5">
      <c r="A98" s="13">
        <v>91</v>
      </c>
      <c r="B98" s="16">
        <v>11</v>
      </c>
      <c r="C98" s="16">
        <v>35</v>
      </c>
      <c r="D98" s="161" t="s">
        <v>1991</v>
      </c>
      <c r="E98">
        <f>VLOOKUP(B98,配置公式2!$N$5:$O$19,2,FALSE)*100+C98</f>
        <v>235</v>
      </c>
    </row>
    <row r="99" spans="1:5" ht="16.5">
      <c r="A99" s="13">
        <v>92</v>
      </c>
      <c r="B99" s="16">
        <v>11</v>
      </c>
      <c r="C99" s="16">
        <v>40</v>
      </c>
      <c r="D99" s="161" t="s">
        <v>1992</v>
      </c>
      <c r="E99">
        <f>VLOOKUP(B99,配置公式2!$N$5:$O$19,2,FALSE)*100+C99</f>
        <v>240</v>
      </c>
    </row>
    <row r="100" spans="1:5" ht="16.5">
      <c r="A100" s="13">
        <v>93</v>
      </c>
      <c r="B100" s="16">
        <v>12</v>
      </c>
      <c r="C100" s="16">
        <v>5</v>
      </c>
      <c r="D100" s="161" t="s">
        <v>1993</v>
      </c>
      <c r="E100">
        <f>VLOOKUP(B100,配置公式2!$N$5:$O$19,2,FALSE)*100+C100</f>
        <v>305</v>
      </c>
    </row>
    <row r="101" spans="1:5" ht="16.5">
      <c r="A101" s="13">
        <v>94</v>
      </c>
      <c r="B101" s="16">
        <v>12</v>
      </c>
      <c r="C101" s="16">
        <v>10</v>
      </c>
      <c r="D101" s="161" t="s">
        <v>1994</v>
      </c>
      <c r="E101">
        <f>VLOOKUP(B101,配置公式2!$N$5:$O$19,2,FALSE)*100+C101</f>
        <v>310</v>
      </c>
    </row>
    <row r="102" spans="1:5" ht="16.5">
      <c r="A102" s="13">
        <v>95</v>
      </c>
      <c r="B102" s="16">
        <v>12</v>
      </c>
      <c r="C102" s="16">
        <v>15</v>
      </c>
      <c r="D102" s="161" t="s">
        <v>1995</v>
      </c>
      <c r="E102">
        <f>VLOOKUP(B102,配置公式2!$N$5:$O$19,2,FALSE)*100+C102</f>
        <v>315</v>
      </c>
    </row>
    <row r="103" spans="1:5" ht="16.5">
      <c r="A103" s="13">
        <v>96</v>
      </c>
      <c r="B103" s="16">
        <v>12</v>
      </c>
      <c r="C103" s="16">
        <v>20</v>
      </c>
      <c r="D103" s="161" t="s">
        <v>1996</v>
      </c>
      <c r="E103">
        <f>VLOOKUP(B103,配置公式2!$N$5:$O$19,2,FALSE)*100+C103</f>
        <v>320</v>
      </c>
    </row>
    <row r="104" spans="1:5" ht="16.5">
      <c r="A104" s="13">
        <v>97</v>
      </c>
      <c r="B104" s="16">
        <v>12</v>
      </c>
      <c r="C104" s="16">
        <v>25</v>
      </c>
      <c r="D104" s="161" t="s">
        <v>1997</v>
      </c>
      <c r="E104">
        <f>VLOOKUP(B104,配置公式2!$N$5:$O$19,2,FALSE)*100+C104</f>
        <v>325</v>
      </c>
    </row>
    <row r="105" spans="1:5" ht="16.5">
      <c r="A105" s="13">
        <v>98</v>
      </c>
      <c r="B105" s="16">
        <v>12</v>
      </c>
      <c r="C105" s="16">
        <v>30</v>
      </c>
      <c r="D105" s="161" t="s">
        <v>1998</v>
      </c>
      <c r="E105">
        <f>VLOOKUP(B105,配置公式2!$N$5:$O$19,2,FALSE)*100+C105</f>
        <v>330</v>
      </c>
    </row>
    <row r="106" spans="1:5" ht="16.5">
      <c r="A106" s="13">
        <v>99</v>
      </c>
      <c r="B106" s="16">
        <v>12</v>
      </c>
      <c r="C106" s="16">
        <v>35</v>
      </c>
      <c r="D106" s="161" t="s">
        <v>1999</v>
      </c>
      <c r="E106">
        <f>VLOOKUP(B106,配置公式2!$N$5:$O$19,2,FALSE)*100+C106</f>
        <v>335</v>
      </c>
    </row>
    <row r="107" spans="1:5" ht="16.5">
      <c r="A107" s="13">
        <v>100</v>
      </c>
      <c r="B107" s="16">
        <v>12</v>
      </c>
      <c r="C107" s="16">
        <v>40</v>
      </c>
      <c r="D107" s="161" t="s">
        <v>2000</v>
      </c>
      <c r="E107">
        <f>VLOOKUP(B107,配置公式2!$N$5:$O$19,2,FALSE)*100+C107</f>
        <v>340</v>
      </c>
    </row>
    <row r="108" spans="1:5" ht="16.5">
      <c r="A108" s="13">
        <v>1001</v>
      </c>
      <c r="B108" s="16">
        <v>12</v>
      </c>
      <c r="C108" s="16">
        <v>45</v>
      </c>
      <c r="D108" s="161" t="s">
        <v>2000</v>
      </c>
      <c r="E108">
        <f>VLOOKUP(B108,配置公式2!$N$5:$O$19,2,FALSE)*100+C108</f>
        <v>345</v>
      </c>
    </row>
    <row r="109" spans="1:5" ht="16.5">
      <c r="A109" s="13">
        <v>1002</v>
      </c>
      <c r="B109" s="16">
        <v>12</v>
      </c>
      <c r="C109" s="16">
        <v>50</v>
      </c>
      <c r="D109" s="161" t="s">
        <v>2000</v>
      </c>
      <c r="E109">
        <f>VLOOKUP(B109,配置公式2!$N$5:$O$19,2,FALSE)*100+C109</f>
        <v>350</v>
      </c>
    </row>
    <row r="110" spans="1:5" ht="16.5">
      <c r="A110" s="13">
        <v>101</v>
      </c>
      <c r="B110" s="16">
        <v>13</v>
      </c>
      <c r="C110" s="16">
        <v>5</v>
      </c>
      <c r="D110" s="161" t="s">
        <v>2001</v>
      </c>
      <c r="E110">
        <f>VLOOKUP(B110,配置公式2!$N$5:$O$19,2,FALSE)*100+C110</f>
        <v>105</v>
      </c>
    </row>
    <row r="111" spans="1:5" ht="16.5">
      <c r="A111" s="13">
        <v>102</v>
      </c>
      <c r="B111" s="16">
        <v>13</v>
      </c>
      <c r="C111" s="16">
        <v>10</v>
      </c>
      <c r="D111" s="161" t="s">
        <v>2002</v>
      </c>
      <c r="E111">
        <f>VLOOKUP(B111,配置公式2!$N$5:$O$19,2,FALSE)*100+C111</f>
        <v>110</v>
      </c>
    </row>
    <row r="112" spans="1:5" ht="16.5">
      <c r="A112" s="13">
        <v>103</v>
      </c>
      <c r="B112" s="16">
        <v>13</v>
      </c>
      <c r="C112" s="16">
        <v>15</v>
      </c>
      <c r="D112" s="161" t="s">
        <v>2003</v>
      </c>
      <c r="E112">
        <f>VLOOKUP(B112,配置公式2!$N$5:$O$19,2,FALSE)*100+C112</f>
        <v>115</v>
      </c>
    </row>
    <row r="113" spans="1:5" ht="16.5">
      <c r="A113" s="13">
        <v>104</v>
      </c>
      <c r="B113" s="16">
        <v>13</v>
      </c>
      <c r="C113" s="16">
        <v>20</v>
      </c>
      <c r="D113" s="161" t="s">
        <v>2004</v>
      </c>
      <c r="E113">
        <f>VLOOKUP(B113,配置公式2!$N$5:$O$19,2,FALSE)*100+C113</f>
        <v>120</v>
      </c>
    </row>
    <row r="114" spans="1:5" ht="16.5">
      <c r="A114" s="13">
        <v>105</v>
      </c>
      <c r="B114" s="16">
        <v>13</v>
      </c>
      <c r="C114" s="16">
        <v>25</v>
      </c>
      <c r="D114" s="161" t="s">
        <v>2005</v>
      </c>
      <c r="E114">
        <f>VLOOKUP(B114,配置公式2!$N$5:$O$19,2,FALSE)*100+C114</f>
        <v>125</v>
      </c>
    </row>
    <row r="115" spans="1:5" ht="16.5">
      <c r="A115" s="13">
        <v>106</v>
      </c>
      <c r="B115" s="16">
        <v>13</v>
      </c>
      <c r="C115" s="16">
        <v>30</v>
      </c>
      <c r="D115" s="161" t="s">
        <v>2006</v>
      </c>
      <c r="E115">
        <f>VLOOKUP(B115,配置公式2!$N$5:$O$19,2,FALSE)*100+C115</f>
        <v>130</v>
      </c>
    </row>
    <row r="116" spans="1:5" ht="16.5">
      <c r="A116" s="13">
        <v>107</v>
      </c>
      <c r="B116" s="16">
        <v>13</v>
      </c>
      <c r="C116" s="16">
        <v>35</v>
      </c>
      <c r="D116" s="161" t="s">
        <v>2007</v>
      </c>
      <c r="E116">
        <f>VLOOKUP(B116,配置公式2!$N$5:$O$19,2,FALSE)*100+C116</f>
        <v>135</v>
      </c>
    </row>
    <row r="117" spans="1:5" ht="16.5">
      <c r="A117" s="13">
        <v>108</v>
      </c>
      <c r="B117" s="16">
        <v>13</v>
      </c>
      <c r="C117" s="16">
        <v>40</v>
      </c>
      <c r="D117" s="161" t="s">
        <v>2008</v>
      </c>
      <c r="E117">
        <f>VLOOKUP(B117,配置公式2!$N$5:$O$19,2,FALSE)*100+C117</f>
        <v>140</v>
      </c>
    </row>
    <row r="118" spans="1:5" ht="16.5">
      <c r="A118" s="13">
        <v>109</v>
      </c>
      <c r="B118" s="16">
        <v>14</v>
      </c>
      <c r="C118" s="16">
        <v>5</v>
      </c>
      <c r="D118" s="161" t="s">
        <v>2001</v>
      </c>
      <c r="E118">
        <f>VLOOKUP(B118,配置公式2!$N$5:$O$19,2,FALSE)*100+C118</f>
        <v>105</v>
      </c>
    </row>
    <row r="119" spans="1:5" ht="16.5">
      <c r="A119" s="13">
        <v>110</v>
      </c>
      <c r="B119" s="16">
        <v>14</v>
      </c>
      <c r="C119" s="16">
        <v>10</v>
      </c>
      <c r="D119" s="161" t="s">
        <v>2002</v>
      </c>
      <c r="E119">
        <f>VLOOKUP(B119,配置公式2!$N$5:$O$19,2,FALSE)*100+C119</f>
        <v>110</v>
      </c>
    </row>
    <row r="120" spans="1:5" ht="16.5">
      <c r="A120" s="13">
        <v>111</v>
      </c>
      <c r="B120" s="16">
        <v>14</v>
      </c>
      <c r="C120" s="16">
        <v>15</v>
      </c>
      <c r="D120" s="161" t="s">
        <v>2003</v>
      </c>
      <c r="E120">
        <f>VLOOKUP(B120,配置公式2!$N$5:$O$19,2,FALSE)*100+C120</f>
        <v>115</v>
      </c>
    </row>
    <row r="121" spans="1:5" ht="16.5">
      <c r="A121" s="13">
        <v>112</v>
      </c>
      <c r="B121" s="16">
        <v>14</v>
      </c>
      <c r="C121" s="16">
        <v>20</v>
      </c>
      <c r="D121" s="161" t="s">
        <v>2004</v>
      </c>
      <c r="E121">
        <f>VLOOKUP(B121,配置公式2!$N$5:$O$19,2,FALSE)*100+C121</f>
        <v>120</v>
      </c>
    </row>
    <row r="122" spans="1:5" ht="16.5">
      <c r="A122" s="13">
        <v>113</v>
      </c>
      <c r="B122" s="16">
        <v>14</v>
      </c>
      <c r="C122" s="16">
        <v>25</v>
      </c>
      <c r="D122" s="161" t="s">
        <v>2005</v>
      </c>
      <c r="E122">
        <f>VLOOKUP(B122,配置公式2!$N$5:$O$19,2,FALSE)*100+C122</f>
        <v>125</v>
      </c>
    </row>
    <row r="123" spans="1:5" ht="16.5">
      <c r="A123" s="13">
        <v>114</v>
      </c>
      <c r="B123" s="16">
        <v>14</v>
      </c>
      <c r="C123" s="16">
        <v>30</v>
      </c>
      <c r="D123" s="161" t="s">
        <v>2006</v>
      </c>
      <c r="E123">
        <f>VLOOKUP(B123,配置公式2!$N$5:$O$19,2,FALSE)*100+C123</f>
        <v>130</v>
      </c>
    </row>
    <row r="124" spans="1:5" ht="16.5">
      <c r="A124" s="13">
        <v>115</v>
      </c>
      <c r="B124" s="16">
        <v>14</v>
      </c>
      <c r="C124" s="16">
        <v>35</v>
      </c>
      <c r="D124" s="161" t="s">
        <v>2007</v>
      </c>
      <c r="E124">
        <f>VLOOKUP(B124,配置公式2!$N$5:$O$19,2,FALSE)*100+C124</f>
        <v>135</v>
      </c>
    </row>
    <row r="125" spans="1:5" ht="16.5">
      <c r="A125" s="13">
        <v>116</v>
      </c>
      <c r="B125" s="16">
        <v>14</v>
      </c>
      <c r="C125" s="16">
        <v>40</v>
      </c>
      <c r="D125" s="161" t="s">
        <v>2008</v>
      </c>
      <c r="E125">
        <f>VLOOKUP(B125,配置公式2!$N$5:$O$19,2,FALSE)*100+C125</f>
        <v>140</v>
      </c>
    </row>
    <row r="126" spans="1:5" ht="16.5">
      <c r="A126" s="13">
        <v>117</v>
      </c>
      <c r="B126" s="162">
        <v>15</v>
      </c>
      <c r="C126" s="162">
        <v>5</v>
      </c>
      <c r="D126" s="161" t="s">
        <v>1993</v>
      </c>
      <c r="E126">
        <f>VLOOKUP(B126,配置公式2!$N$5:$O$19,2,FALSE)*100+C126</f>
        <v>305</v>
      </c>
    </row>
    <row r="127" spans="1:5" ht="16.5">
      <c r="A127" s="13">
        <v>118</v>
      </c>
      <c r="B127" s="162">
        <v>15</v>
      </c>
      <c r="C127" s="162">
        <v>10</v>
      </c>
      <c r="D127" s="161" t="s">
        <v>1994</v>
      </c>
      <c r="E127">
        <f>VLOOKUP(B127,配置公式2!$N$5:$O$19,2,FALSE)*100+C127</f>
        <v>310</v>
      </c>
    </row>
    <row r="128" spans="1:5" ht="16.5">
      <c r="A128" s="13">
        <v>119</v>
      </c>
      <c r="B128" s="162">
        <v>15</v>
      </c>
      <c r="C128" s="162">
        <v>15</v>
      </c>
      <c r="D128" s="161" t="s">
        <v>1995</v>
      </c>
      <c r="E128">
        <f>VLOOKUP(B128,配置公式2!$N$5:$O$19,2,FALSE)*100+C128</f>
        <v>315</v>
      </c>
    </row>
    <row r="129" spans="1:5" ht="16.5">
      <c r="A129" s="13">
        <v>120</v>
      </c>
      <c r="B129" s="162">
        <v>15</v>
      </c>
      <c r="C129" s="162">
        <v>20</v>
      </c>
      <c r="D129" s="161" t="s">
        <v>1996</v>
      </c>
      <c r="E129">
        <f>VLOOKUP(B129,配置公式2!$N$5:$O$19,2,FALSE)*100+C129</f>
        <v>320</v>
      </c>
    </row>
    <row r="130" spans="1:5" ht="16.5">
      <c r="A130" s="13">
        <v>121</v>
      </c>
      <c r="B130" s="162">
        <v>15</v>
      </c>
      <c r="C130" s="162">
        <v>25</v>
      </c>
      <c r="D130" s="161" t="s">
        <v>1997</v>
      </c>
      <c r="E130">
        <f>VLOOKUP(B130,配置公式2!$N$5:$O$19,2,FALSE)*100+C130</f>
        <v>325</v>
      </c>
    </row>
    <row r="131" spans="1:5" ht="16.5">
      <c r="A131" s="13">
        <v>122</v>
      </c>
      <c r="B131" s="162">
        <v>15</v>
      </c>
      <c r="C131" s="162">
        <v>30</v>
      </c>
      <c r="D131" s="161" t="s">
        <v>1998</v>
      </c>
      <c r="E131">
        <f>VLOOKUP(B131,配置公式2!$N$5:$O$19,2,FALSE)*100+C131</f>
        <v>330</v>
      </c>
    </row>
    <row r="132" spans="1:5" ht="16.5">
      <c r="A132" s="13">
        <v>123</v>
      </c>
      <c r="B132" s="162">
        <v>15</v>
      </c>
      <c r="C132" s="162">
        <v>35</v>
      </c>
      <c r="D132" s="161" t="s">
        <v>1999</v>
      </c>
      <c r="E132">
        <f>VLOOKUP(B132,配置公式2!$N$5:$O$19,2,FALSE)*100+C132</f>
        <v>335</v>
      </c>
    </row>
    <row r="133" spans="1:5" ht="16.5">
      <c r="A133" s="13">
        <v>124</v>
      </c>
      <c r="B133" s="162">
        <v>15</v>
      </c>
      <c r="C133" s="162">
        <v>40</v>
      </c>
      <c r="D133" s="161" t="s">
        <v>2000</v>
      </c>
      <c r="E133">
        <f>VLOOKUP(B133,配置公式2!$N$5:$O$19,2,FALSE)*100+C133</f>
        <v>340</v>
      </c>
    </row>
    <row r="134" spans="1:5" ht="16.5">
      <c r="A134" s="13">
        <v>125</v>
      </c>
      <c r="B134" s="162">
        <v>16</v>
      </c>
      <c r="C134" s="162">
        <v>5</v>
      </c>
      <c r="D134" s="161" t="s">
        <v>2001</v>
      </c>
      <c r="E134" t="e">
        <f>VLOOKUP(B134,配置公式2!$N$5:$O$19,2,FALSE)*100+C134</f>
        <v>#N/A</v>
      </c>
    </row>
    <row r="135" spans="1:5" ht="16.5">
      <c r="A135" s="13">
        <v>126</v>
      </c>
      <c r="B135" s="162">
        <v>16</v>
      </c>
      <c r="C135" s="162">
        <v>10</v>
      </c>
      <c r="D135" s="161" t="s">
        <v>2002</v>
      </c>
      <c r="E135" t="e">
        <f>VLOOKUP(B135,配置公式2!$N$5:$O$19,2,FALSE)*100+C135</f>
        <v>#N/A</v>
      </c>
    </row>
    <row r="136" spans="1:5" ht="16.5">
      <c r="A136" s="13">
        <v>127</v>
      </c>
      <c r="B136" s="162">
        <v>16</v>
      </c>
      <c r="C136" s="162">
        <v>15</v>
      </c>
      <c r="D136" s="161" t="s">
        <v>2003</v>
      </c>
      <c r="E136" t="e">
        <f>VLOOKUP(B136,配置公式2!$N$5:$O$19,2,FALSE)*100+C136</f>
        <v>#N/A</v>
      </c>
    </row>
    <row r="137" spans="1:5" ht="16.5">
      <c r="A137" s="13">
        <v>128</v>
      </c>
      <c r="B137" s="162">
        <v>16</v>
      </c>
      <c r="C137" s="162">
        <v>20</v>
      </c>
      <c r="D137" s="161" t="s">
        <v>2004</v>
      </c>
      <c r="E137" t="e">
        <f>VLOOKUP(B137,配置公式2!$N$5:$O$19,2,FALSE)*100+C137</f>
        <v>#N/A</v>
      </c>
    </row>
    <row r="138" spans="1:5" ht="16.5">
      <c r="A138" s="13">
        <v>129</v>
      </c>
      <c r="B138" s="162">
        <v>16</v>
      </c>
      <c r="C138" s="162">
        <v>25</v>
      </c>
      <c r="D138" s="161" t="s">
        <v>2005</v>
      </c>
      <c r="E138" t="e">
        <f>VLOOKUP(B138,配置公式2!$N$5:$O$19,2,FALSE)*100+C138</f>
        <v>#N/A</v>
      </c>
    </row>
    <row r="139" spans="1:5" ht="16.5">
      <c r="A139" s="13">
        <v>130</v>
      </c>
      <c r="B139" s="162">
        <v>16</v>
      </c>
      <c r="C139" s="162">
        <v>30</v>
      </c>
      <c r="D139" s="161" t="s">
        <v>2006</v>
      </c>
      <c r="E139" t="e">
        <f>VLOOKUP(B139,配置公式2!$N$5:$O$19,2,FALSE)*100+C139</f>
        <v>#N/A</v>
      </c>
    </row>
    <row r="140" spans="1:5" ht="16.5">
      <c r="A140" s="13">
        <v>131</v>
      </c>
      <c r="B140" s="162">
        <v>16</v>
      </c>
      <c r="C140" s="162">
        <v>35</v>
      </c>
      <c r="D140" s="161" t="s">
        <v>2007</v>
      </c>
      <c r="E140" t="e">
        <f>VLOOKUP(B140,配置公式2!$N$5:$O$19,2,FALSE)*100+C140</f>
        <v>#N/A</v>
      </c>
    </row>
    <row r="141" spans="1:5" ht="16.5">
      <c r="A141" s="13">
        <v>132</v>
      </c>
      <c r="B141" s="162">
        <v>16</v>
      </c>
      <c r="C141" s="162">
        <v>40</v>
      </c>
      <c r="D141" s="161" t="s">
        <v>2008</v>
      </c>
      <c r="E141" t="e">
        <f>VLOOKUP(B141,配置公式2!$N$5:$O$19,2,FALSE)*100+C141</f>
        <v>#N/A</v>
      </c>
    </row>
  </sheetData>
  <phoneticPr fontId="15" type="noConversion"/>
  <conditionalFormatting sqref="B3:D7">
    <cfRule type="containsText" dxfId="216" priority="8" operator="containsText" text="请填写">
      <formula>NOT(ISERROR(SEARCH("请填写",B3)))</formula>
    </cfRule>
  </conditionalFormatting>
  <conditionalFormatting sqref="A3:A7">
    <cfRule type="containsText" dxfId="215" priority="9" operator="containsText" text="请填写">
      <formula>NOT(ISERROR(SEARCH("请填写",A3)))</formula>
    </cfRule>
    <cfRule type="containsText" dxfId="214" priority="10" operator="containsText" text="请填写">
      <formula>NOT(ISERROR(SEARCH("请填写",A3)))</formula>
    </cfRule>
  </conditionalFormatting>
  <conditionalFormatting sqref="C3:C7">
    <cfRule type="containsText" dxfId="213" priority="1" operator="containsText" text="请填写">
      <formula>NOT(ISERROR(SEARCH("请填写",C3)))</formula>
    </cfRule>
  </conditionalFormatting>
  <dataValidations count="3">
    <dataValidation type="list" allowBlank="1" showInputMessage="1" showErrorMessage="1" sqref="A3" xr:uid="{00000000-0002-0000-0600-000000000000}">
      <formula1>"string,transtring,float,uint32,bool,int32"</formula1>
    </dataValidation>
    <dataValidation type="list" allowBlank="1" showInputMessage="1" showErrorMessage="1" sqref="A4:D4" xr:uid="{00000000-0002-0000-0600-000001000000}">
      <formula1>"All,Server,Client,None"</formula1>
    </dataValidation>
    <dataValidation type="list" allowBlank="1" showInputMessage="1" showErrorMessage="1" sqref="B3:D3" xr:uid="{00000000-0002-0000-0600-000002000000}">
      <formula1>"string,string[],transtring,transtring[],float,float[],uint32,uint32[],bool,bool[],int32,int32[],[uint=uint],[uint=int],[uint=float],[uint=string],[int=uint],[int=int],[int=float],[int=string],[string=uint],[string=int],[string=float],[string=string]"</formula1>
    </dataValidation>
  </dataValidations>
  <pageMargins left="0.7" right="0.7" top="0.75" bottom="0.75" header="0.3" footer="0.3"/>
  <pageSetup paperSize="9" fitToHeight="0"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3" tint="-0.249977111117893"/>
  </sheetPr>
  <dimension ref="A1:AJ92"/>
  <sheetViews>
    <sheetView topLeftCell="A46" workbookViewId="0">
      <selection activeCell="H69" sqref="H69:H72"/>
    </sheetView>
  </sheetViews>
  <sheetFormatPr defaultRowHeight="13.5"/>
  <cols>
    <col min="9" max="9" width="18.875" bestFit="1" customWidth="1"/>
    <col min="24" max="24" width="21.5" bestFit="1" customWidth="1"/>
  </cols>
  <sheetData>
    <row r="1" spans="1:36" ht="16.5">
      <c r="A1" s="79" t="s">
        <v>986</v>
      </c>
      <c r="B1" s="80"/>
      <c r="C1" s="81">
        <v>23</v>
      </c>
      <c r="D1" s="81">
        <v>5</v>
      </c>
      <c r="E1" s="81">
        <v>1</v>
      </c>
      <c r="F1" s="81">
        <v>4</v>
      </c>
      <c r="G1" s="81">
        <v>3</v>
      </c>
      <c r="H1" s="82">
        <v>1</v>
      </c>
      <c r="I1" s="82">
        <v>2</v>
      </c>
      <c r="J1" s="82">
        <v>2</v>
      </c>
      <c r="K1" s="81"/>
      <c r="L1" s="81"/>
      <c r="P1" s="82" t="s">
        <v>1969</v>
      </c>
      <c r="Q1" s="81" t="s">
        <v>1970</v>
      </c>
      <c r="R1" s="81"/>
      <c r="S1" s="81"/>
      <c r="T1" s="81"/>
      <c r="U1" s="81"/>
      <c r="V1" s="81"/>
      <c r="W1" s="81"/>
      <c r="X1" s="81"/>
      <c r="AE1" s="82">
        <v>1</v>
      </c>
      <c r="AF1" s="82">
        <v>2</v>
      </c>
      <c r="AG1" s="82">
        <v>3</v>
      </c>
      <c r="AH1" s="82">
        <v>5</v>
      </c>
      <c r="AI1" s="82">
        <v>101</v>
      </c>
    </row>
    <row r="2" spans="1:36" ht="16.5">
      <c r="A2" s="83" t="s">
        <v>987</v>
      </c>
      <c r="B2" s="83" t="s">
        <v>988</v>
      </c>
      <c r="C2" s="83">
        <v>1</v>
      </c>
      <c r="D2" s="83">
        <v>2</v>
      </c>
      <c r="E2" s="83">
        <v>3</v>
      </c>
      <c r="F2" s="83">
        <v>4</v>
      </c>
      <c r="G2" s="83">
        <v>5</v>
      </c>
      <c r="H2" s="83">
        <v>6</v>
      </c>
      <c r="I2" s="83">
        <v>7</v>
      </c>
      <c r="J2" s="83">
        <v>8</v>
      </c>
      <c r="K2" s="83">
        <v>9</v>
      </c>
      <c r="L2" s="83">
        <v>10</v>
      </c>
      <c r="P2" s="163" t="s">
        <v>1000</v>
      </c>
      <c r="Q2" s="163">
        <v>5</v>
      </c>
      <c r="R2" s="163">
        <v>10</v>
      </c>
      <c r="S2" s="163">
        <v>15</v>
      </c>
      <c r="T2" s="163">
        <v>20</v>
      </c>
      <c r="U2" s="163">
        <v>25</v>
      </c>
      <c r="V2" s="163">
        <v>30</v>
      </c>
      <c r="W2" s="163">
        <v>35</v>
      </c>
      <c r="X2" s="163">
        <v>40</v>
      </c>
      <c r="AB2" s="171" t="s">
        <v>1002</v>
      </c>
      <c r="AC2" s="163" t="s">
        <v>798</v>
      </c>
      <c r="AD2" s="164" t="s">
        <v>1001</v>
      </c>
      <c r="AE2" s="163" t="s">
        <v>994</v>
      </c>
      <c r="AF2" s="163" t="s">
        <v>995</v>
      </c>
      <c r="AG2" s="163" t="s">
        <v>996</v>
      </c>
      <c r="AH2" s="163" t="s">
        <v>997</v>
      </c>
      <c r="AI2" s="163" t="s">
        <v>1983</v>
      </c>
    </row>
    <row r="3" spans="1:36" ht="16.5">
      <c r="A3" s="83" t="s">
        <v>989</v>
      </c>
      <c r="B3" s="223" t="s">
        <v>990</v>
      </c>
      <c r="C3" s="84">
        <v>0.08</v>
      </c>
      <c r="D3" s="84">
        <v>0.08</v>
      </c>
      <c r="E3" s="84">
        <v>0.08</v>
      </c>
      <c r="F3" s="84">
        <v>0.1</v>
      </c>
      <c r="G3" s="84">
        <v>0.1</v>
      </c>
      <c r="H3" s="84">
        <v>0.1</v>
      </c>
      <c r="I3" s="84">
        <v>0.1</v>
      </c>
      <c r="J3" s="84">
        <v>0.12</v>
      </c>
      <c r="K3" s="84">
        <v>0.12</v>
      </c>
      <c r="L3" s="84">
        <v>0.12</v>
      </c>
      <c r="P3" s="164" t="s">
        <v>1001</v>
      </c>
      <c r="Q3" s="165">
        <v>0.08</v>
      </c>
      <c r="R3" s="165">
        <v>0.1</v>
      </c>
      <c r="S3" s="165">
        <v>0.1</v>
      </c>
      <c r="T3" s="165">
        <v>0.12</v>
      </c>
      <c r="U3" s="165">
        <v>0.12</v>
      </c>
      <c r="V3" s="165">
        <v>0.15</v>
      </c>
      <c r="W3" s="165">
        <v>0.15</v>
      </c>
      <c r="X3" s="165">
        <v>0.18</v>
      </c>
      <c r="AB3" s="172">
        <f t="shared" ref="AB3:AB34" si="0">AE3*0.02+AF3*0.4+AG3*0.3+AH3*0.3</f>
        <v>72</v>
      </c>
      <c r="AC3" s="163">
        <v>5</v>
      </c>
      <c r="AD3" s="165">
        <v>0.01</v>
      </c>
      <c r="AE3" s="163">
        <v>2400</v>
      </c>
      <c r="AF3" s="163">
        <v>0</v>
      </c>
      <c r="AG3" s="163">
        <v>80</v>
      </c>
      <c r="AH3" s="163">
        <v>0</v>
      </c>
      <c r="AI3" s="166">
        <v>0.01</v>
      </c>
      <c r="AJ3" t="str">
        <f>_xlfn.CONCAT($AE$1,"=",AE3,",",$AG$1,"=",AG3,",",$AI$1,"=",AI3*10000)</f>
        <v>1=2400,3=80,101=100</v>
      </c>
    </row>
    <row r="4" spans="1:36" ht="16.5">
      <c r="A4" s="83" t="s">
        <v>991</v>
      </c>
      <c r="B4" s="224"/>
      <c r="C4" s="84">
        <v>0.08</v>
      </c>
      <c r="D4" s="84">
        <v>0.08</v>
      </c>
      <c r="E4" s="84">
        <v>0.08</v>
      </c>
      <c r="F4" s="84">
        <v>0.1</v>
      </c>
      <c r="G4" s="84">
        <v>0.1</v>
      </c>
      <c r="H4" s="84">
        <v>0.1</v>
      </c>
      <c r="I4" s="84">
        <v>0.1</v>
      </c>
      <c r="J4" s="84">
        <v>0.12</v>
      </c>
      <c r="K4" s="84">
        <v>0.12</v>
      </c>
      <c r="L4" s="84">
        <v>0.12</v>
      </c>
      <c r="P4" s="163" t="s">
        <v>994</v>
      </c>
      <c r="Q4" s="163">
        <v>0</v>
      </c>
      <c r="R4" s="163">
        <v>2000</v>
      </c>
      <c r="S4" s="163">
        <v>0</v>
      </c>
      <c r="T4" s="163">
        <v>3200</v>
      </c>
      <c r="U4" s="163">
        <v>0</v>
      </c>
      <c r="V4" s="163">
        <v>4000</v>
      </c>
      <c r="W4" s="163">
        <v>0</v>
      </c>
      <c r="X4" s="163">
        <v>5000</v>
      </c>
      <c r="AB4" s="172">
        <f t="shared" si="0"/>
        <v>72</v>
      </c>
      <c r="AC4" s="163">
        <v>10</v>
      </c>
      <c r="AD4" s="165">
        <v>0.01</v>
      </c>
      <c r="AE4" s="163">
        <v>0</v>
      </c>
      <c r="AF4" s="163">
        <v>120</v>
      </c>
      <c r="AG4" s="163">
        <v>0</v>
      </c>
      <c r="AH4" s="163">
        <v>80</v>
      </c>
      <c r="AI4" s="166">
        <v>0.01</v>
      </c>
      <c r="AJ4" t="str">
        <f>_xlfn.CONCAT($AF$1,"=",AF4,",",$AH$1,"=",AH4,",",$AI$1,"=",AI4*10000)</f>
        <v>2=120,5=80,101=100</v>
      </c>
    </row>
    <row r="5" spans="1:36" ht="16.5">
      <c r="A5" s="83" t="s">
        <v>992</v>
      </c>
      <c r="B5" s="225"/>
      <c r="C5" s="84">
        <v>0.08</v>
      </c>
      <c r="D5" s="84">
        <v>0.08</v>
      </c>
      <c r="E5" s="84">
        <v>0.08</v>
      </c>
      <c r="F5" s="84">
        <v>0.1</v>
      </c>
      <c r="G5" s="84">
        <v>0.1</v>
      </c>
      <c r="H5" s="84">
        <v>0.1</v>
      </c>
      <c r="I5" s="84">
        <v>0.1</v>
      </c>
      <c r="J5" s="84">
        <v>0.12</v>
      </c>
      <c r="K5" s="84">
        <v>0.12</v>
      </c>
      <c r="L5" s="84">
        <v>0.12</v>
      </c>
      <c r="N5" s="168">
        <v>3</v>
      </c>
      <c r="O5" s="168">
        <v>1</v>
      </c>
      <c r="P5" s="163" t="s">
        <v>995</v>
      </c>
      <c r="Q5" s="163">
        <v>0</v>
      </c>
      <c r="R5" s="163">
        <v>100</v>
      </c>
      <c r="S5" s="163">
        <v>0</v>
      </c>
      <c r="T5" s="163">
        <v>160</v>
      </c>
      <c r="U5" s="163">
        <v>0</v>
      </c>
      <c r="V5" s="163">
        <v>200</v>
      </c>
      <c r="W5" s="163">
        <v>0</v>
      </c>
      <c r="X5" s="163">
        <v>250</v>
      </c>
      <c r="AB5" s="172">
        <f t="shared" si="0"/>
        <v>72</v>
      </c>
      <c r="AC5" s="163">
        <v>15</v>
      </c>
      <c r="AD5" s="165">
        <v>0.01</v>
      </c>
      <c r="AE5" s="163">
        <v>2400</v>
      </c>
      <c r="AF5" s="163">
        <v>0</v>
      </c>
      <c r="AG5" s="163">
        <v>80</v>
      </c>
      <c r="AH5" s="163">
        <v>0</v>
      </c>
      <c r="AI5" s="166">
        <v>0.01</v>
      </c>
      <c r="AJ5" t="str">
        <f>_xlfn.CONCAT($AE$1,"=",AE5,",",$AG$1,"=",AG5,",",$AI$1,"=",AI5*10000)</f>
        <v>1=2400,3=80,101=100</v>
      </c>
    </row>
    <row r="6" spans="1:36" ht="16.5">
      <c r="A6" s="83" t="s">
        <v>993</v>
      </c>
      <c r="B6" s="83" t="s">
        <v>1962</v>
      </c>
      <c r="C6" s="83">
        <v>1500</v>
      </c>
      <c r="D6" s="83">
        <v>0</v>
      </c>
      <c r="E6" s="83">
        <v>1500</v>
      </c>
      <c r="F6" s="83">
        <v>0</v>
      </c>
      <c r="G6" s="83">
        <v>1800</v>
      </c>
      <c r="H6" s="83">
        <v>0</v>
      </c>
      <c r="I6" s="83">
        <v>1800</v>
      </c>
      <c r="J6" s="83">
        <v>0</v>
      </c>
      <c r="K6" s="83">
        <v>2250</v>
      </c>
      <c r="L6" s="83">
        <v>0</v>
      </c>
      <c r="N6" s="168">
        <v>4</v>
      </c>
      <c r="O6" s="168">
        <v>1</v>
      </c>
      <c r="P6" s="163" t="s">
        <v>996</v>
      </c>
      <c r="Q6" s="163">
        <v>100</v>
      </c>
      <c r="R6" s="163">
        <v>0</v>
      </c>
      <c r="S6" s="163">
        <v>160</v>
      </c>
      <c r="T6" s="163">
        <v>0</v>
      </c>
      <c r="U6" s="163">
        <v>200</v>
      </c>
      <c r="V6" s="163">
        <v>0</v>
      </c>
      <c r="W6" s="163">
        <v>250</v>
      </c>
      <c r="X6" s="163">
        <v>0</v>
      </c>
      <c r="AB6" s="172">
        <f t="shared" si="0"/>
        <v>72</v>
      </c>
      <c r="AC6" s="163">
        <v>20</v>
      </c>
      <c r="AD6" s="165">
        <v>0.01</v>
      </c>
      <c r="AE6" s="163">
        <v>0</v>
      </c>
      <c r="AF6" s="163">
        <v>120</v>
      </c>
      <c r="AG6" s="163">
        <v>0</v>
      </c>
      <c r="AH6" s="163">
        <v>80</v>
      </c>
      <c r="AI6" s="166">
        <v>0.01</v>
      </c>
      <c r="AJ6" t="str">
        <f>_xlfn.CONCAT($AF$1,"=",AF6,",",$AH$1,"=",AH6,",",$AI$1,"=",AI6*10000)</f>
        <v>2=120,5=80,101=100</v>
      </c>
    </row>
    <row r="7" spans="1:36" ht="16.5">
      <c r="A7" s="83" t="s">
        <v>993</v>
      </c>
      <c r="B7" s="83" t="s">
        <v>1963</v>
      </c>
      <c r="C7" s="83">
        <v>50</v>
      </c>
      <c r="D7" s="83">
        <v>0</v>
      </c>
      <c r="E7" s="83">
        <v>50</v>
      </c>
      <c r="F7" s="83">
        <v>0</v>
      </c>
      <c r="G7" s="83">
        <v>60</v>
      </c>
      <c r="H7" s="83">
        <v>0</v>
      </c>
      <c r="I7" s="83">
        <v>60</v>
      </c>
      <c r="J7" s="83">
        <v>0</v>
      </c>
      <c r="K7" s="83">
        <v>75</v>
      </c>
      <c r="L7" s="83">
        <v>0</v>
      </c>
      <c r="N7" s="168">
        <v>5</v>
      </c>
      <c r="O7" s="168">
        <v>1</v>
      </c>
      <c r="P7" s="163" t="s">
        <v>997</v>
      </c>
      <c r="Q7" s="163">
        <v>100</v>
      </c>
      <c r="R7" s="163">
        <v>0</v>
      </c>
      <c r="S7" s="163">
        <v>160</v>
      </c>
      <c r="T7" s="163">
        <v>0</v>
      </c>
      <c r="U7" s="163">
        <v>200</v>
      </c>
      <c r="V7" s="163">
        <v>0</v>
      </c>
      <c r="W7" s="163">
        <v>250</v>
      </c>
      <c r="X7" s="163">
        <v>0</v>
      </c>
      <c r="AB7" s="172">
        <f t="shared" si="0"/>
        <v>72</v>
      </c>
      <c r="AC7" s="163">
        <v>25</v>
      </c>
      <c r="AD7" s="165">
        <v>0.01</v>
      </c>
      <c r="AE7" s="163">
        <v>2400</v>
      </c>
      <c r="AF7" s="163">
        <v>0</v>
      </c>
      <c r="AG7" s="163">
        <v>80</v>
      </c>
      <c r="AH7" s="163">
        <v>0</v>
      </c>
      <c r="AI7" s="166">
        <v>0.01</v>
      </c>
      <c r="AJ7" t="str">
        <f>_xlfn.CONCAT($AE$1,"=",AE7,",",$AG$1,"=",AG7,",",$AI$1,"=",AI7*10000)</f>
        <v>1=2400,3=80,101=100</v>
      </c>
    </row>
    <row r="8" spans="1:36" ht="16.5">
      <c r="A8" s="83" t="s">
        <v>993</v>
      </c>
      <c r="B8" s="83" t="s">
        <v>996</v>
      </c>
      <c r="C8" s="83">
        <v>0</v>
      </c>
      <c r="D8" s="83">
        <v>40</v>
      </c>
      <c r="E8" s="83">
        <v>0</v>
      </c>
      <c r="F8" s="83">
        <v>60</v>
      </c>
      <c r="G8" s="83">
        <v>0</v>
      </c>
      <c r="H8" s="83">
        <v>60</v>
      </c>
      <c r="I8" s="83">
        <v>0</v>
      </c>
      <c r="J8" s="83">
        <v>80</v>
      </c>
      <c r="K8" s="83">
        <v>0</v>
      </c>
      <c r="L8" s="83">
        <v>100</v>
      </c>
      <c r="N8" s="168">
        <v>13</v>
      </c>
      <c r="O8" s="168">
        <v>1</v>
      </c>
      <c r="P8" s="163" t="s">
        <v>1960</v>
      </c>
      <c r="Q8" s="166">
        <v>2E-3</v>
      </c>
      <c r="R8" s="166">
        <v>2E-3</v>
      </c>
      <c r="S8" s="166">
        <v>2E-3</v>
      </c>
      <c r="T8" s="166">
        <v>2E-3</v>
      </c>
      <c r="U8" s="166">
        <v>2E-3</v>
      </c>
      <c r="V8" s="166">
        <v>2E-3</v>
      </c>
      <c r="W8" s="166">
        <v>2E-3</v>
      </c>
      <c r="X8" s="166">
        <v>2E-3</v>
      </c>
      <c r="AB8" s="172">
        <f t="shared" si="0"/>
        <v>72</v>
      </c>
      <c r="AC8" s="163">
        <v>30</v>
      </c>
      <c r="AD8" s="165">
        <v>0.01</v>
      </c>
      <c r="AE8" s="163">
        <v>0</v>
      </c>
      <c r="AF8" s="163">
        <v>120</v>
      </c>
      <c r="AG8" s="163">
        <v>0</v>
      </c>
      <c r="AH8" s="163">
        <v>80</v>
      </c>
      <c r="AI8" s="166">
        <v>0.01</v>
      </c>
      <c r="AJ8" t="str">
        <f>_xlfn.CONCAT($AF$1,"=",AF8,",",$AH$1,"=",AH8,",",$AI$1,"=",AI8*10000)</f>
        <v>2=120,5=80,101=100</v>
      </c>
    </row>
    <row r="9" spans="1:36" ht="16.5">
      <c r="A9" s="83" t="s">
        <v>993</v>
      </c>
      <c r="B9" s="83" t="s">
        <v>997</v>
      </c>
      <c r="C9" s="83">
        <v>0</v>
      </c>
      <c r="D9" s="83">
        <v>40</v>
      </c>
      <c r="E9" s="83">
        <v>0</v>
      </c>
      <c r="F9" s="83">
        <v>60</v>
      </c>
      <c r="G9" s="83">
        <v>0</v>
      </c>
      <c r="H9" s="83">
        <v>60</v>
      </c>
      <c r="I9" s="83">
        <v>0</v>
      </c>
      <c r="J9" s="83">
        <v>80</v>
      </c>
      <c r="K9" s="83">
        <v>0</v>
      </c>
      <c r="L9" s="83">
        <v>100</v>
      </c>
      <c r="N9" s="168">
        <v>14</v>
      </c>
      <c r="O9" s="168">
        <v>1</v>
      </c>
      <c r="AB9" s="172">
        <f t="shared" si="0"/>
        <v>72</v>
      </c>
      <c r="AC9" s="163">
        <v>35</v>
      </c>
      <c r="AD9" s="165">
        <v>0.01</v>
      </c>
      <c r="AE9" s="163">
        <v>2400</v>
      </c>
      <c r="AF9" s="163">
        <v>0</v>
      </c>
      <c r="AG9" s="163">
        <v>80</v>
      </c>
      <c r="AH9" s="163">
        <v>0</v>
      </c>
      <c r="AI9" s="166">
        <v>0.01</v>
      </c>
      <c r="AJ9" t="str">
        <f>_xlfn.CONCAT($AE$1,"=",AE9,",",$AG$1,"=",AG9,",",$AI$1,"=",AI9*10000)</f>
        <v>1=2400,3=80,101=100</v>
      </c>
    </row>
    <row r="10" spans="1:36" ht="16.5">
      <c r="A10" s="83" t="s">
        <v>993</v>
      </c>
      <c r="B10" s="83" t="s">
        <v>1961</v>
      </c>
      <c r="C10" s="83">
        <v>0</v>
      </c>
      <c r="D10" s="83">
        <v>3.3E-3</v>
      </c>
      <c r="E10" s="83">
        <v>0</v>
      </c>
      <c r="F10" s="83">
        <v>3.3E-3</v>
      </c>
      <c r="G10" s="83">
        <v>0</v>
      </c>
      <c r="H10" s="83">
        <v>3.3E-3</v>
      </c>
      <c r="I10" s="83">
        <v>0</v>
      </c>
      <c r="J10" s="83">
        <v>3.3E-3</v>
      </c>
      <c r="K10" s="83">
        <v>0</v>
      </c>
      <c r="L10" s="83">
        <v>3.3E-3</v>
      </c>
      <c r="N10" s="168">
        <v>1</v>
      </c>
      <c r="O10" s="168">
        <v>2</v>
      </c>
      <c r="P10" s="82" t="s">
        <v>1979</v>
      </c>
      <c r="Q10" s="81" t="s">
        <v>1980</v>
      </c>
      <c r="R10" s="81"/>
      <c r="S10" s="81"/>
      <c r="T10" s="81"/>
      <c r="U10" s="81"/>
      <c r="V10" s="81"/>
      <c r="W10" s="81"/>
      <c r="X10" s="81"/>
      <c r="AB10" s="172">
        <f t="shared" si="0"/>
        <v>72</v>
      </c>
      <c r="AC10" s="163">
        <v>40</v>
      </c>
      <c r="AD10" s="165">
        <v>0.01</v>
      </c>
      <c r="AE10" s="163">
        <v>0</v>
      </c>
      <c r="AF10" s="163">
        <v>120</v>
      </c>
      <c r="AG10" s="163">
        <v>0</v>
      </c>
      <c r="AH10" s="163">
        <v>80</v>
      </c>
      <c r="AI10" s="166">
        <v>0.01</v>
      </c>
      <c r="AJ10" t="str">
        <f>_xlfn.CONCAT($AF$1,"=",AF10,",",$AH$1,"=",AH10,",",$AI$1,"=",AI10*10000)</f>
        <v>2=120,5=80,101=100</v>
      </c>
    </row>
    <row r="11" spans="1:36" ht="16.5">
      <c r="A11" s="83" t="s">
        <v>998</v>
      </c>
      <c r="B11" s="83" t="s">
        <v>1962</v>
      </c>
      <c r="C11" s="83">
        <v>1200</v>
      </c>
      <c r="D11" s="83">
        <v>0</v>
      </c>
      <c r="E11" s="83">
        <v>1200</v>
      </c>
      <c r="F11" s="83">
        <v>0</v>
      </c>
      <c r="G11" s="83">
        <v>1500</v>
      </c>
      <c r="H11" s="83">
        <v>0</v>
      </c>
      <c r="I11" s="83">
        <v>1500</v>
      </c>
      <c r="J11" s="83">
        <v>0</v>
      </c>
      <c r="K11" s="83">
        <v>1800</v>
      </c>
      <c r="L11" s="83">
        <v>0</v>
      </c>
      <c r="N11" s="168">
        <v>6</v>
      </c>
      <c r="O11" s="168">
        <v>2</v>
      </c>
      <c r="P11" s="163" t="s">
        <v>1000</v>
      </c>
      <c r="Q11" s="163" t="s">
        <v>1971</v>
      </c>
      <c r="R11" s="163" t="s">
        <v>1972</v>
      </c>
      <c r="S11" s="163" t="s">
        <v>1973</v>
      </c>
      <c r="T11" s="163" t="s">
        <v>1974</v>
      </c>
      <c r="U11" s="163" t="s">
        <v>1975</v>
      </c>
      <c r="V11" s="163" t="s">
        <v>1976</v>
      </c>
      <c r="W11" s="163" t="s">
        <v>1977</v>
      </c>
      <c r="X11" s="163" t="s">
        <v>1978</v>
      </c>
      <c r="AB11" s="172">
        <f t="shared" si="0"/>
        <v>72</v>
      </c>
      <c r="AC11" s="163">
        <v>45</v>
      </c>
      <c r="AD11" s="165">
        <v>0.01</v>
      </c>
      <c r="AE11" s="163">
        <v>2400</v>
      </c>
      <c r="AF11" s="163">
        <v>0</v>
      </c>
      <c r="AG11" s="163">
        <v>80</v>
      </c>
      <c r="AH11" s="163">
        <v>0</v>
      </c>
      <c r="AI11" s="166">
        <v>0.01</v>
      </c>
      <c r="AJ11" t="str">
        <f>_xlfn.CONCAT($AE$1,"=",AE11,",",$AG$1,"=",AG11,",",$AI$1,"=",AI11*10000)</f>
        <v>1=2400,3=80,101=100</v>
      </c>
    </row>
    <row r="12" spans="1:36" ht="16.5">
      <c r="A12" s="83" t="s">
        <v>998</v>
      </c>
      <c r="B12" s="83" t="s">
        <v>1963</v>
      </c>
      <c r="C12" s="83">
        <v>40</v>
      </c>
      <c r="D12" s="83">
        <v>0</v>
      </c>
      <c r="E12" s="83">
        <v>40</v>
      </c>
      <c r="F12" s="83">
        <v>0</v>
      </c>
      <c r="G12" s="83">
        <v>50</v>
      </c>
      <c r="H12" s="83">
        <v>0</v>
      </c>
      <c r="I12" s="83">
        <v>50</v>
      </c>
      <c r="J12" s="83">
        <v>0</v>
      </c>
      <c r="K12" s="83">
        <v>60</v>
      </c>
      <c r="L12" s="83">
        <v>0</v>
      </c>
      <c r="N12" s="168">
        <v>7</v>
      </c>
      <c r="O12" s="168">
        <v>2</v>
      </c>
      <c r="P12" s="164" t="s">
        <v>1001</v>
      </c>
      <c r="Q12" s="165">
        <v>0.08</v>
      </c>
      <c r="R12" s="165">
        <v>0.1</v>
      </c>
      <c r="S12" s="165">
        <v>0.1</v>
      </c>
      <c r="T12" s="165">
        <v>0.12</v>
      </c>
      <c r="U12" s="165">
        <v>0.12</v>
      </c>
      <c r="V12" s="165">
        <v>0.15</v>
      </c>
      <c r="W12" s="165">
        <v>0.15</v>
      </c>
      <c r="X12" s="165">
        <v>0.18</v>
      </c>
      <c r="AB12" s="172">
        <f t="shared" si="0"/>
        <v>72</v>
      </c>
      <c r="AC12" s="163">
        <v>50</v>
      </c>
      <c r="AD12" s="165">
        <v>0.01</v>
      </c>
      <c r="AE12" s="163">
        <v>0</v>
      </c>
      <c r="AF12" s="163">
        <v>120</v>
      </c>
      <c r="AG12" s="163">
        <v>0</v>
      </c>
      <c r="AH12" s="163">
        <v>80</v>
      </c>
      <c r="AI12" s="166">
        <v>0.01</v>
      </c>
      <c r="AJ12" t="str">
        <f>_xlfn.CONCAT($AF$1,"=",AF12,",",$AH$1,"=",AH12,",",$AI$1,"=",AI12*10000)</f>
        <v>2=120,5=80,101=100</v>
      </c>
    </row>
    <row r="13" spans="1:36" ht="16.5">
      <c r="A13" s="83" t="s">
        <v>998</v>
      </c>
      <c r="B13" s="83" t="s">
        <v>996</v>
      </c>
      <c r="C13" s="83">
        <v>0</v>
      </c>
      <c r="D13" s="83">
        <v>32</v>
      </c>
      <c r="E13" s="83">
        <v>0</v>
      </c>
      <c r="F13" s="83">
        <v>32</v>
      </c>
      <c r="G13" s="83">
        <v>0</v>
      </c>
      <c r="H13" s="83">
        <v>50</v>
      </c>
      <c r="I13" s="83">
        <v>0</v>
      </c>
      <c r="J13" s="83">
        <v>70</v>
      </c>
      <c r="K13" s="83">
        <v>0</v>
      </c>
      <c r="L13" s="83">
        <v>90</v>
      </c>
      <c r="N13" s="168">
        <v>8</v>
      </c>
      <c r="O13" s="168">
        <v>2</v>
      </c>
      <c r="P13" s="163" t="s">
        <v>994</v>
      </c>
      <c r="Q13" s="163">
        <v>2000</v>
      </c>
      <c r="R13" s="163">
        <v>2000</v>
      </c>
      <c r="S13" s="163">
        <v>3200</v>
      </c>
      <c r="T13" s="163">
        <v>3200</v>
      </c>
      <c r="U13" s="163">
        <v>4000</v>
      </c>
      <c r="V13" s="163">
        <v>4000</v>
      </c>
      <c r="W13" s="163">
        <v>5000</v>
      </c>
      <c r="X13" s="163">
        <v>5000</v>
      </c>
      <c r="AB13" s="172">
        <f t="shared" si="0"/>
        <v>72</v>
      </c>
      <c r="AC13" s="163">
        <v>55</v>
      </c>
      <c r="AD13" s="165">
        <v>0.01</v>
      </c>
      <c r="AE13" s="163">
        <v>2400</v>
      </c>
      <c r="AF13" s="163">
        <v>0</v>
      </c>
      <c r="AG13" s="163">
        <v>80</v>
      </c>
      <c r="AH13" s="163">
        <v>0</v>
      </c>
      <c r="AI13" s="166">
        <v>0.01</v>
      </c>
      <c r="AJ13" t="str">
        <f>_xlfn.CONCAT($AE$1,"=",AE13,",",$AG$1,"=",AG13,",",$AI$1,"=",AI13*10000)</f>
        <v>1=2400,3=80,101=100</v>
      </c>
    </row>
    <row r="14" spans="1:36" ht="16.5">
      <c r="A14" s="83" t="s">
        <v>998</v>
      </c>
      <c r="B14" s="83" t="s">
        <v>997</v>
      </c>
      <c r="C14" s="83">
        <v>0</v>
      </c>
      <c r="D14" s="83">
        <v>32</v>
      </c>
      <c r="E14" s="83">
        <v>0</v>
      </c>
      <c r="F14" s="83">
        <v>32</v>
      </c>
      <c r="G14" s="83">
        <v>0</v>
      </c>
      <c r="H14" s="83">
        <v>50</v>
      </c>
      <c r="I14" s="83">
        <v>0</v>
      </c>
      <c r="J14" s="83">
        <v>70</v>
      </c>
      <c r="K14" s="83">
        <v>0</v>
      </c>
      <c r="L14" s="83">
        <v>90</v>
      </c>
      <c r="N14" s="168">
        <v>11</v>
      </c>
      <c r="O14" s="168">
        <v>2</v>
      </c>
      <c r="P14" s="163" t="s">
        <v>995</v>
      </c>
      <c r="Q14" s="163">
        <v>0</v>
      </c>
      <c r="R14" s="163">
        <v>0</v>
      </c>
      <c r="S14" s="163">
        <v>0</v>
      </c>
      <c r="T14" s="163">
        <v>0</v>
      </c>
      <c r="U14" s="163">
        <v>0</v>
      </c>
      <c r="V14" s="163">
        <v>0</v>
      </c>
      <c r="W14" s="163">
        <v>0</v>
      </c>
      <c r="X14" s="163">
        <v>0</v>
      </c>
      <c r="AB14" s="172">
        <f t="shared" si="0"/>
        <v>72</v>
      </c>
      <c r="AC14" s="163">
        <v>60</v>
      </c>
      <c r="AD14" s="165">
        <v>0.01</v>
      </c>
      <c r="AE14" s="163">
        <v>0</v>
      </c>
      <c r="AF14" s="163">
        <v>120</v>
      </c>
      <c r="AG14" s="163">
        <v>0</v>
      </c>
      <c r="AH14" s="163">
        <v>80</v>
      </c>
      <c r="AI14" s="166">
        <v>0.01</v>
      </c>
      <c r="AJ14" t="str">
        <f>_xlfn.CONCAT($AF$1,"=",AF14,",",$AH$1,"=",AH14,",",$AI$1,"=",AI14*10000)</f>
        <v>2=120,5=80,101=100</v>
      </c>
    </row>
    <row r="15" spans="1:36" ht="16.5">
      <c r="A15" s="83" t="s">
        <v>999</v>
      </c>
      <c r="B15" s="83" t="s">
        <v>1962</v>
      </c>
      <c r="C15" s="83">
        <v>900</v>
      </c>
      <c r="D15" s="83">
        <v>0</v>
      </c>
      <c r="E15" s="83">
        <v>900</v>
      </c>
      <c r="F15" s="83">
        <v>0</v>
      </c>
      <c r="G15" s="83">
        <v>1200</v>
      </c>
      <c r="H15" s="83">
        <v>0</v>
      </c>
      <c r="I15" s="83">
        <v>1200</v>
      </c>
      <c r="J15" s="83">
        <v>0</v>
      </c>
      <c r="K15" s="83">
        <v>1500</v>
      </c>
      <c r="L15" s="83">
        <v>0</v>
      </c>
      <c r="N15" s="168">
        <v>2</v>
      </c>
      <c r="O15" s="168">
        <v>3</v>
      </c>
      <c r="P15" s="163" t="s">
        <v>996</v>
      </c>
      <c r="Q15" s="163">
        <v>100</v>
      </c>
      <c r="R15" s="163">
        <v>0</v>
      </c>
      <c r="S15" s="163">
        <v>160</v>
      </c>
      <c r="T15" s="163">
        <v>0</v>
      </c>
      <c r="U15" s="163">
        <v>200</v>
      </c>
      <c r="V15" s="163">
        <v>0</v>
      </c>
      <c r="W15" s="163">
        <v>250</v>
      </c>
      <c r="X15" s="163">
        <v>0</v>
      </c>
      <c r="AB15" s="172">
        <f t="shared" si="0"/>
        <v>72</v>
      </c>
      <c r="AC15" s="163">
        <v>65</v>
      </c>
      <c r="AD15" s="165">
        <v>0.01</v>
      </c>
      <c r="AE15" s="163">
        <v>2400</v>
      </c>
      <c r="AF15" s="163">
        <v>0</v>
      </c>
      <c r="AG15" s="163">
        <v>80</v>
      </c>
      <c r="AH15" s="163">
        <v>0</v>
      </c>
      <c r="AI15" s="166">
        <v>0.01</v>
      </c>
      <c r="AJ15" t="str">
        <f>_xlfn.CONCAT($AE$1,"=",AE15,",",$AG$1,"=",AG15,",",$AI$1,"=",AI15*10000)</f>
        <v>1=2400,3=80,101=100</v>
      </c>
    </row>
    <row r="16" spans="1:36" ht="16.5">
      <c r="A16" s="83" t="s">
        <v>999</v>
      </c>
      <c r="B16" s="83" t="s">
        <v>1963</v>
      </c>
      <c r="C16" s="83">
        <v>30</v>
      </c>
      <c r="D16" s="83">
        <v>0</v>
      </c>
      <c r="E16" s="83">
        <v>30</v>
      </c>
      <c r="F16" s="83">
        <v>0</v>
      </c>
      <c r="G16" s="83">
        <v>40</v>
      </c>
      <c r="H16" s="83">
        <v>0</v>
      </c>
      <c r="I16" s="83">
        <v>40</v>
      </c>
      <c r="J16" s="83">
        <v>0</v>
      </c>
      <c r="K16" s="83">
        <v>50</v>
      </c>
      <c r="L16" s="83">
        <v>0</v>
      </c>
      <c r="N16" s="168">
        <v>9</v>
      </c>
      <c r="O16" s="168">
        <v>3</v>
      </c>
      <c r="P16" s="163" t="s">
        <v>997</v>
      </c>
      <c r="Q16" s="163">
        <v>0</v>
      </c>
      <c r="R16" s="163">
        <v>100</v>
      </c>
      <c r="S16" s="163">
        <v>0</v>
      </c>
      <c r="T16" s="163">
        <v>160</v>
      </c>
      <c r="U16" s="163">
        <v>0</v>
      </c>
      <c r="V16" s="163">
        <v>200</v>
      </c>
      <c r="W16" s="163">
        <v>0</v>
      </c>
      <c r="X16" s="163">
        <v>250</v>
      </c>
      <c r="AB16" s="172">
        <f t="shared" si="0"/>
        <v>72</v>
      </c>
      <c r="AC16" s="163">
        <v>70</v>
      </c>
      <c r="AD16" s="165">
        <v>0.01</v>
      </c>
      <c r="AE16" s="163">
        <v>0</v>
      </c>
      <c r="AF16" s="163">
        <v>120</v>
      </c>
      <c r="AG16" s="163">
        <v>0</v>
      </c>
      <c r="AH16" s="163">
        <v>80</v>
      </c>
      <c r="AI16" s="166">
        <v>0.01</v>
      </c>
      <c r="AJ16" t="str">
        <f>_xlfn.CONCAT($AF$1,"=",AF16,",",$AH$1,"=",AH16,",",$AI$1,"=",AI16*10000)</f>
        <v>2=120,5=80,101=100</v>
      </c>
    </row>
    <row r="17" spans="1:36" ht="16.5">
      <c r="A17" s="83" t="s">
        <v>999</v>
      </c>
      <c r="B17" s="83" t="s">
        <v>996</v>
      </c>
      <c r="C17" s="83">
        <v>0</v>
      </c>
      <c r="D17" s="83">
        <v>24</v>
      </c>
      <c r="E17" s="83">
        <v>0</v>
      </c>
      <c r="F17" s="83">
        <v>24</v>
      </c>
      <c r="G17" s="83">
        <v>0</v>
      </c>
      <c r="H17" s="83">
        <v>40</v>
      </c>
      <c r="I17" s="83">
        <v>0</v>
      </c>
      <c r="J17" s="83">
        <v>50</v>
      </c>
      <c r="K17" s="83">
        <v>0</v>
      </c>
      <c r="L17" s="83">
        <v>75</v>
      </c>
      <c r="N17" s="168">
        <v>10</v>
      </c>
      <c r="O17" s="168">
        <v>3</v>
      </c>
      <c r="P17" s="163" t="s">
        <v>1960</v>
      </c>
      <c r="Q17" s="166">
        <v>2E-3</v>
      </c>
      <c r="R17" s="166">
        <v>2E-3</v>
      </c>
      <c r="S17" s="166">
        <v>2E-3</v>
      </c>
      <c r="T17" s="166">
        <v>2E-3</v>
      </c>
      <c r="U17" s="166">
        <v>2E-3</v>
      </c>
      <c r="V17" s="166">
        <v>2E-3</v>
      </c>
      <c r="W17" s="166">
        <v>2E-3</v>
      </c>
      <c r="X17" s="166">
        <v>2E-3</v>
      </c>
      <c r="AB17" s="172">
        <f t="shared" si="0"/>
        <v>72</v>
      </c>
      <c r="AC17" s="163">
        <v>75</v>
      </c>
      <c r="AD17" s="165">
        <v>0.01</v>
      </c>
      <c r="AE17" s="163">
        <v>2400</v>
      </c>
      <c r="AF17" s="163">
        <v>0</v>
      </c>
      <c r="AG17" s="163">
        <v>80</v>
      </c>
      <c r="AH17" s="163">
        <v>0</v>
      </c>
      <c r="AI17" s="166">
        <v>0.01</v>
      </c>
      <c r="AJ17" t="str">
        <f>_xlfn.CONCAT($AE$1,"=",AE17,",",$AG$1,"=",AG17,",",$AI$1,"=",AI17*10000)</f>
        <v>1=2400,3=80,101=100</v>
      </c>
    </row>
    <row r="18" spans="1:36" ht="16.5">
      <c r="A18" s="83" t="s">
        <v>999</v>
      </c>
      <c r="B18" s="83" t="s">
        <v>997</v>
      </c>
      <c r="C18" s="83">
        <v>0</v>
      </c>
      <c r="D18" s="83">
        <v>24</v>
      </c>
      <c r="E18" s="83">
        <v>0</v>
      </c>
      <c r="F18" s="83">
        <v>24</v>
      </c>
      <c r="G18" s="83">
        <v>0</v>
      </c>
      <c r="H18" s="83">
        <v>40</v>
      </c>
      <c r="I18" s="83">
        <v>0</v>
      </c>
      <c r="J18" s="83">
        <v>50</v>
      </c>
      <c r="K18" s="83">
        <v>0</v>
      </c>
      <c r="L18" s="83">
        <v>75</v>
      </c>
      <c r="N18" s="168">
        <v>12</v>
      </c>
      <c r="O18" s="168">
        <v>3</v>
      </c>
      <c r="AB18" s="172">
        <f t="shared" si="0"/>
        <v>72</v>
      </c>
      <c r="AC18" s="163">
        <v>80</v>
      </c>
      <c r="AD18" s="165">
        <v>0.01</v>
      </c>
      <c r="AE18" s="163">
        <v>0</v>
      </c>
      <c r="AF18" s="163">
        <v>120</v>
      </c>
      <c r="AG18" s="163">
        <v>0</v>
      </c>
      <c r="AH18" s="163">
        <v>80</v>
      </c>
      <c r="AI18" s="166">
        <v>0.01</v>
      </c>
      <c r="AJ18" t="str">
        <f>_xlfn.CONCAT($AF$1,"=",AF18,",",$AH$1,"=",AH18,",",$AI$1,"=",AI18*10000)</f>
        <v>2=120,5=80,101=100</v>
      </c>
    </row>
    <row r="19" spans="1:36" ht="16.5">
      <c r="N19" s="168">
        <v>15</v>
      </c>
      <c r="O19" s="168">
        <v>3</v>
      </c>
      <c r="P19" s="82" t="s">
        <v>1981</v>
      </c>
      <c r="Q19" s="81" t="s">
        <v>1982</v>
      </c>
      <c r="R19" s="81"/>
      <c r="S19" s="81"/>
      <c r="T19" s="81"/>
      <c r="U19" s="81"/>
      <c r="V19" s="81"/>
      <c r="W19" s="81"/>
      <c r="X19" s="81"/>
      <c r="AB19" s="172">
        <f t="shared" si="0"/>
        <v>72</v>
      </c>
      <c r="AC19" s="163">
        <v>85</v>
      </c>
      <c r="AD19" s="165">
        <v>0.01</v>
      </c>
      <c r="AE19" s="163">
        <v>2400</v>
      </c>
      <c r="AF19" s="163">
        <v>0</v>
      </c>
      <c r="AG19" s="163">
        <v>80</v>
      </c>
      <c r="AH19" s="163">
        <v>0</v>
      </c>
      <c r="AI19" s="166">
        <v>0.01</v>
      </c>
      <c r="AJ19" t="str">
        <f>_xlfn.CONCAT($AE$1,"=",AE19,",",$AG$1,"=",AG19,",",$AI$1,"=",AI19*10000)</f>
        <v>1=2400,3=80,101=100</v>
      </c>
    </row>
    <row r="20" spans="1:36" ht="16.5">
      <c r="P20" s="163" t="s">
        <v>1000</v>
      </c>
      <c r="Q20" s="163" t="s">
        <v>1971</v>
      </c>
      <c r="R20" s="163" t="s">
        <v>1972</v>
      </c>
      <c r="S20" s="163" t="s">
        <v>1973</v>
      </c>
      <c r="T20" s="163" t="s">
        <v>1974</v>
      </c>
      <c r="U20" s="163" t="s">
        <v>1975</v>
      </c>
      <c r="V20" s="163" t="s">
        <v>1976</v>
      </c>
      <c r="W20" s="163" t="s">
        <v>1977</v>
      </c>
      <c r="X20" s="163" t="s">
        <v>1978</v>
      </c>
      <c r="AB20" s="172">
        <f t="shared" si="0"/>
        <v>72</v>
      </c>
      <c r="AC20" s="163">
        <v>90</v>
      </c>
      <c r="AD20" s="165">
        <v>0.01</v>
      </c>
      <c r="AE20" s="163">
        <v>0</v>
      </c>
      <c r="AF20" s="163">
        <v>120</v>
      </c>
      <c r="AG20" s="163">
        <v>0</v>
      </c>
      <c r="AH20" s="163">
        <v>80</v>
      </c>
      <c r="AI20" s="166">
        <v>0.01</v>
      </c>
      <c r="AJ20" t="str">
        <f>_xlfn.CONCAT($AF$1,"=",AF20,",",$AH$1,"=",AH20,",",$AI$1,"=",AI20*10000)</f>
        <v>2=120,5=80,101=100</v>
      </c>
    </row>
    <row r="21" spans="1:36" ht="16.5">
      <c r="A21" s="85"/>
      <c r="D21" s="82">
        <v>1</v>
      </c>
      <c r="E21" s="82">
        <v>2</v>
      </c>
      <c r="F21" s="82">
        <v>3</v>
      </c>
      <c r="G21" s="82">
        <v>5</v>
      </c>
      <c r="H21" s="82">
        <v>14</v>
      </c>
      <c r="P21" s="164" t="s">
        <v>1001</v>
      </c>
      <c r="Q21" s="165">
        <v>0.08</v>
      </c>
      <c r="R21" s="165">
        <v>0.1</v>
      </c>
      <c r="S21" s="165">
        <v>0.1</v>
      </c>
      <c r="T21" s="165">
        <v>0.12</v>
      </c>
      <c r="U21" s="165">
        <v>0.12</v>
      </c>
      <c r="V21" s="165">
        <v>0.15</v>
      </c>
      <c r="W21" s="165">
        <v>0.15</v>
      </c>
      <c r="X21" s="165">
        <v>0.18</v>
      </c>
      <c r="AB21" s="172">
        <f t="shared" si="0"/>
        <v>72</v>
      </c>
      <c r="AC21" s="163">
        <v>95</v>
      </c>
      <c r="AD21" s="165">
        <v>0.01</v>
      </c>
      <c r="AE21" s="163">
        <v>2400</v>
      </c>
      <c r="AF21" s="163">
        <v>0</v>
      </c>
      <c r="AG21" s="163">
        <v>80</v>
      </c>
      <c r="AH21" s="163">
        <v>0</v>
      </c>
      <c r="AI21" s="166">
        <v>0.01</v>
      </c>
      <c r="AJ21" t="str">
        <f>_xlfn.CONCAT($AE$1,"=",AE21,",",$AG$1,"=",AG21,",",$AI$1,"=",AI21*10000)</f>
        <v>1=2400,3=80,101=100</v>
      </c>
    </row>
    <row r="22" spans="1:36" ht="16.5">
      <c r="A22" s="85"/>
      <c r="D22" s="82" t="s">
        <v>994</v>
      </c>
      <c r="E22" s="82" t="s">
        <v>995</v>
      </c>
      <c r="F22" s="82" t="s">
        <v>996</v>
      </c>
      <c r="G22" s="82" t="s">
        <v>997</v>
      </c>
      <c r="H22" s="82" t="s">
        <v>1961</v>
      </c>
      <c r="P22" s="163" t="s">
        <v>994</v>
      </c>
      <c r="Q22" s="163">
        <v>0</v>
      </c>
      <c r="R22" s="163">
        <v>0</v>
      </c>
      <c r="S22" s="163">
        <v>0</v>
      </c>
      <c r="T22" s="163">
        <v>0</v>
      </c>
      <c r="U22" s="163">
        <v>0</v>
      </c>
      <c r="V22" s="163">
        <v>0</v>
      </c>
      <c r="W22" s="163">
        <v>0</v>
      </c>
      <c r="X22" s="163">
        <v>0</v>
      </c>
      <c r="AB22" s="172">
        <f t="shared" si="0"/>
        <v>72</v>
      </c>
      <c r="AC22" s="163">
        <v>100</v>
      </c>
      <c r="AD22" s="165">
        <v>0.01</v>
      </c>
      <c r="AE22" s="163">
        <v>0</v>
      </c>
      <c r="AF22" s="163">
        <v>120</v>
      </c>
      <c r="AG22" s="163">
        <v>0</v>
      </c>
      <c r="AH22" s="163">
        <v>80</v>
      </c>
      <c r="AI22" s="166">
        <v>0.01</v>
      </c>
      <c r="AJ22" t="str">
        <f>_xlfn.CONCAT($AF$1,"=",AF22,",",$AH$1,"=",AH22,",",$AI$1,"=",AI22*10000)</f>
        <v>2=120,5=80,101=100</v>
      </c>
    </row>
    <row r="23" spans="1:36" ht="16.5">
      <c r="A23" s="82">
        <v>3</v>
      </c>
      <c r="B23">
        <f>A23*100+C23</f>
        <v>301</v>
      </c>
      <c r="C23" s="82">
        <v>1</v>
      </c>
      <c r="D23" s="85">
        <f t="shared" ref="D23:G32" si="1">INDEX($C$15:$L$18,MATCH(D$22,$B$15:$B$18,0),MATCH($C23,$C$2:$L$2,0))</f>
        <v>900</v>
      </c>
      <c r="E23" s="85">
        <f t="shared" si="1"/>
        <v>30</v>
      </c>
      <c r="F23" s="85">
        <f t="shared" si="1"/>
        <v>0</v>
      </c>
      <c r="G23" s="85">
        <f t="shared" si="1"/>
        <v>0</v>
      </c>
      <c r="H23" s="85"/>
      <c r="I23" s="85" t="str">
        <f>_xlfn.CONCAT($D$21,"=",D23,",",$E$21,"=",E23)</f>
        <v>1=900,2=30</v>
      </c>
      <c r="P23" s="163" t="s">
        <v>995</v>
      </c>
      <c r="Q23" s="163">
        <v>100</v>
      </c>
      <c r="R23" s="163">
        <v>100</v>
      </c>
      <c r="S23" s="163">
        <v>160</v>
      </c>
      <c r="T23" s="163">
        <v>160</v>
      </c>
      <c r="U23" s="163">
        <v>200</v>
      </c>
      <c r="V23" s="163">
        <v>200</v>
      </c>
      <c r="W23" s="163">
        <v>250</v>
      </c>
      <c r="X23" s="163">
        <v>250</v>
      </c>
      <c r="AB23" s="172">
        <f t="shared" si="0"/>
        <v>141</v>
      </c>
      <c r="AC23" s="163">
        <v>105</v>
      </c>
      <c r="AD23" s="165">
        <v>0.02</v>
      </c>
      <c r="AE23" s="163">
        <v>4800</v>
      </c>
      <c r="AF23" s="163">
        <v>0</v>
      </c>
      <c r="AG23" s="163">
        <v>150</v>
      </c>
      <c r="AH23" s="163">
        <v>0</v>
      </c>
      <c r="AI23" s="166">
        <v>0.01</v>
      </c>
      <c r="AJ23" t="str">
        <f>_xlfn.CONCAT($AE$1,"=",AE23,",",$AG$1,"=",AG23,",",$AI$1,"=",AI23*10000)</f>
        <v>1=4800,3=150,101=100</v>
      </c>
    </row>
    <row r="24" spans="1:36" ht="16.5">
      <c r="A24" s="82">
        <v>3</v>
      </c>
      <c r="B24">
        <f t="shared" ref="B24:B52" si="2">A24*100+C24</f>
        <v>302</v>
      </c>
      <c r="C24" s="82">
        <v>2</v>
      </c>
      <c r="D24" s="85">
        <f t="shared" si="1"/>
        <v>0</v>
      </c>
      <c r="E24" s="85">
        <f t="shared" si="1"/>
        <v>0</v>
      </c>
      <c r="F24" s="85">
        <f t="shared" si="1"/>
        <v>24</v>
      </c>
      <c r="G24" s="85">
        <f t="shared" si="1"/>
        <v>24</v>
      </c>
      <c r="H24" s="85"/>
      <c r="I24" s="85" t="str">
        <f>_xlfn.CONCAT($F$21,"=",F24,",",$G$21,"=",G24)</f>
        <v>3=24,5=24</v>
      </c>
      <c r="P24" s="163" t="s">
        <v>996</v>
      </c>
      <c r="Q24" s="163">
        <v>100</v>
      </c>
      <c r="R24" s="163">
        <v>0</v>
      </c>
      <c r="S24" s="163">
        <v>160</v>
      </c>
      <c r="T24" s="163">
        <v>0</v>
      </c>
      <c r="U24" s="163">
        <v>200</v>
      </c>
      <c r="V24" s="163">
        <v>0</v>
      </c>
      <c r="W24" s="163">
        <v>250</v>
      </c>
      <c r="X24" s="163">
        <v>0</v>
      </c>
      <c r="AB24" s="172">
        <f t="shared" si="0"/>
        <v>141</v>
      </c>
      <c r="AC24" s="163">
        <v>110</v>
      </c>
      <c r="AD24" s="165">
        <v>0.02</v>
      </c>
      <c r="AE24" s="163">
        <v>0</v>
      </c>
      <c r="AF24" s="163">
        <v>240</v>
      </c>
      <c r="AG24" s="163">
        <v>0</v>
      </c>
      <c r="AH24" s="163">
        <v>150</v>
      </c>
      <c r="AI24" s="166">
        <v>0.01</v>
      </c>
      <c r="AJ24" t="str">
        <f>_xlfn.CONCAT($AF$1,"=",AF24,",",$AH$1,"=",AH24,",",$AI$1,"=",AI24*10000)</f>
        <v>2=240,5=150,101=100</v>
      </c>
    </row>
    <row r="25" spans="1:36" ht="16.5">
      <c r="A25" s="82">
        <v>3</v>
      </c>
      <c r="B25">
        <f t="shared" si="2"/>
        <v>303</v>
      </c>
      <c r="C25" s="82">
        <v>3</v>
      </c>
      <c r="D25" s="85">
        <f t="shared" si="1"/>
        <v>900</v>
      </c>
      <c r="E25" s="85">
        <f t="shared" si="1"/>
        <v>30</v>
      </c>
      <c r="F25" s="85">
        <f t="shared" si="1"/>
        <v>0</v>
      </c>
      <c r="G25" s="85">
        <f t="shared" si="1"/>
        <v>0</v>
      </c>
      <c r="H25" s="85"/>
      <c r="I25" s="85" t="str">
        <f>_xlfn.CONCAT($D$21,"=",D25,",",$E$21,"=",E25)</f>
        <v>1=900,2=30</v>
      </c>
      <c r="P25" s="163" t="s">
        <v>997</v>
      </c>
      <c r="Q25" s="163">
        <v>0</v>
      </c>
      <c r="R25" s="163">
        <v>100</v>
      </c>
      <c r="S25" s="163">
        <v>0</v>
      </c>
      <c r="T25" s="163">
        <v>160</v>
      </c>
      <c r="U25" s="163">
        <v>0</v>
      </c>
      <c r="V25" s="163">
        <v>200</v>
      </c>
      <c r="W25" s="163">
        <v>0</v>
      </c>
      <c r="X25" s="163">
        <v>250</v>
      </c>
      <c r="AB25" s="172">
        <f t="shared" si="0"/>
        <v>141</v>
      </c>
      <c r="AC25" s="163">
        <v>115</v>
      </c>
      <c r="AD25" s="165">
        <v>0.02</v>
      </c>
      <c r="AE25" s="163">
        <v>4800</v>
      </c>
      <c r="AF25" s="163">
        <v>0</v>
      </c>
      <c r="AG25" s="163">
        <v>150</v>
      </c>
      <c r="AH25" s="163">
        <v>0</v>
      </c>
      <c r="AI25" s="166">
        <v>0.01</v>
      </c>
      <c r="AJ25" t="str">
        <f>_xlfn.CONCAT($AE$1,"=",AE25,",",$AG$1,"=",AG25,",",$AI$1,"=",AI25*10000)</f>
        <v>1=4800,3=150,101=100</v>
      </c>
    </row>
    <row r="26" spans="1:36" ht="16.5">
      <c r="A26" s="82">
        <v>3</v>
      </c>
      <c r="B26">
        <f t="shared" si="2"/>
        <v>304</v>
      </c>
      <c r="C26" s="82">
        <v>4</v>
      </c>
      <c r="D26" s="85">
        <f t="shared" si="1"/>
        <v>0</v>
      </c>
      <c r="E26" s="85">
        <f t="shared" si="1"/>
        <v>0</v>
      </c>
      <c r="F26" s="85">
        <f t="shared" si="1"/>
        <v>24</v>
      </c>
      <c r="G26" s="85">
        <f t="shared" si="1"/>
        <v>24</v>
      </c>
      <c r="H26" s="85"/>
      <c r="I26" s="85" t="str">
        <f>_xlfn.CONCAT($F$21,"=",F26,",",$G$21,"=",G26)</f>
        <v>3=24,5=24</v>
      </c>
      <c r="P26" s="163" t="s">
        <v>1960</v>
      </c>
      <c r="Q26" s="166">
        <v>2E-3</v>
      </c>
      <c r="R26" s="166">
        <v>2E-3</v>
      </c>
      <c r="S26" s="166">
        <v>2E-3</v>
      </c>
      <c r="T26" s="166">
        <v>2E-3</v>
      </c>
      <c r="U26" s="166">
        <v>2E-3</v>
      </c>
      <c r="V26" s="166">
        <v>2E-3</v>
      </c>
      <c r="W26" s="166">
        <v>2E-3</v>
      </c>
      <c r="X26" s="166">
        <v>2E-3</v>
      </c>
      <c r="AB26" s="172">
        <f t="shared" si="0"/>
        <v>141</v>
      </c>
      <c r="AC26" s="163">
        <v>120</v>
      </c>
      <c r="AD26" s="165">
        <v>0.02</v>
      </c>
      <c r="AE26" s="163">
        <v>0</v>
      </c>
      <c r="AF26" s="163">
        <v>240</v>
      </c>
      <c r="AG26" s="163">
        <v>0</v>
      </c>
      <c r="AH26" s="163">
        <v>150</v>
      </c>
      <c r="AI26" s="166">
        <v>0.01</v>
      </c>
      <c r="AJ26" t="str">
        <f>_xlfn.CONCAT($AF$1,"=",AF26,",",$AH$1,"=",AH26,",",$AI$1,"=",AI26*10000)</f>
        <v>2=240,5=150,101=100</v>
      </c>
    </row>
    <row r="27" spans="1:36" ht="16.5">
      <c r="A27" s="82">
        <v>3</v>
      </c>
      <c r="B27">
        <f t="shared" si="2"/>
        <v>305</v>
      </c>
      <c r="C27" s="82">
        <v>5</v>
      </c>
      <c r="D27" s="85">
        <f t="shared" si="1"/>
        <v>1200</v>
      </c>
      <c r="E27" s="85">
        <f t="shared" si="1"/>
        <v>40</v>
      </c>
      <c r="F27" s="85">
        <f t="shared" si="1"/>
        <v>0</v>
      </c>
      <c r="G27" s="85">
        <f t="shared" si="1"/>
        <v>0</v>
      </c>
      <c r="H27" s="85"/>
      <c r="I27" s="85" t="str">
        <f>_xlfn.CONCAT($D$21,"=",D27,",",$E$21,"=",E27)</f>
        <v>1=1200,2=40</v>
      </c>
      <c r="AB27" s="172">
        <f t="shared" si="0"/>
        <v>141</v>
      </c>
      <c r="AC27" s="163">
        <v>125</v>
      </c>
      <c r="AD27" s="165">
        <v>0.02</v>
      </c>
      <c r="AE27" s="163">
        <v>4800</v>
      </c>
      <c r="AF27" s="163">
        <v>0</v>
      </c>
      <c r="AG27" s="163">
        <v>150</v>
      </c>
      <c r="AH27" s="163">
        <v>0</v>
      </c>
      <c r="AI27" s="166">
        <v>0.01</v>
      </c>
      <c r="AJ27" t="str">
        <f>_xlfn.CONCAT($AE$1,"=",AE27,",",$AG$1,"=",AG27,",",$AI$1,"=",AI27*10000)</f>
        <v>1=4800,3=150,101=100</v>
      </c>
    </row>
    <row r="28" spans="1:36" ht="16.5">
      <c r="A28" s="82">
        <v>3</v>
      </c>
      <c r="B28">
        <f t="shared" si="2"/>
        <v>306</v>
      </c>
      <c r="C28" s="82">
        <v>6</v>
      </c>
      <c r="D28" s="85">
        <f t="shared" si="1"/>
        <v>0</v>
      </c>
      <c r="E28" s="85">
        <f t="shared" si="1"/>
        <v>0</v>
      </c>
      <c r="F28" s="85">
        <f t="shared" si="1"/>
        <v>40</v>
      </c>
      <c r="G28" s="85">
        <f t="shared" si="1"/>
        <v>40</v>
      </c>
      <c r="H28" s="85"/>
      <c r="I28" s="85" t="str">
        <f>_xlfn.CONCAT($F$21,"=",F28,",",$G$21,"=",G28)</f>
        <v>3=40,5=40</v>
      </c>
      <c r="AB28" s="172">
        <f t="shared" si="0"/>
        <v>141</v>
      </c>
      <c r="AC28" s="163">
        <v>130</v>
      </c>
      <c r="AD28" s="165">
        <v>0.02</v>
      </c>
      <c r="AE28" s="163">
        <v>0</v>
      </c>
      <c r="AF28" s="163">
        <v>240</v>
      </c>
      <c r="AG28" s="163">
        <v>0</v>
      </c>
      <c r="AH28" s="163">
        <v>150</v>
      </c>
      <c r="AI28" s="166">
        <v>0.01</v>
      </c>
      <c r="AJ28" t="str">
        <f>_xlfn.CONCAT($AF$1,"=",AF28,",",$AH$1,"=",AH28,",",$AI$1,"=",AI28*10000)</f>
        <v>2=240,5=150,101=100</v>
      </c>
    </row>
    <row r="29" spans="1:36" ht="16.5">
      <c r="A29" s="82">
        <v>3</v>
      </c>
      <c r="B29">
        <f t="shared" si="2"/>
        <v>307</v>
      </c>
      <c r="C29" s="82">
        <v>7</v>
      </c>
      <c r="D29" s="85">
        <f t="shared" si="1"/>
        <v>1200</v>
      </c>
      <c r="E29" s="85">
        <f t="shared" si="1"/>
        <v>40</v>
      </c>
      <c r="F29" s="85">
        <f t="shared" si="1"/>
        <v>0</v>
      </c>
      <c r="G29" s="85">
        <f t="shared" si="1"/>
        <v>0</v>
      </c>
      <c r="H29" s="85"/>
      <c r="I29" s="85" t="str">
        <f>_xlfn.CONCAT($D$21,"=",D29,",",$E$21,"=",E29)</f>
        <v>1=1200,2=40</v>
      </c>
      <c r="P29" s="167"/>
      <c r="Q29" s="167"/>
      <c r="R29" s="167"/>
      <c r="S29" s="82">
        <v>1</v>
      </c>
      <c r="T29" s="82">
        <v>2</v>
      </c>
      <c r="U29" s="82">
        <v>3</v>
      </c>
      <c r="V29" s="82">
        <v>5</v>
      </c>
      <c r="W29" s="82">
        <v>14</v>
      </c>
      <c r="AB29" s="172">
        <f t="shared" si="0"/>
        <v>141</v>
      </c>
      <c r="AC29" s="163">
        <v>135</v>
      </c>
      <c r="AD29" s="165">
        <v>0.02</v>
      </c>
      <c r="AE29" s="163">
        <v>4800</v>
      </c>
      <c r="AF29" s="163">
        <v>0</v>
      </c>
      <c r="AG29" s="163">
        <v>150</v>
      </c>
      <c r="AH29" s="163">
        <v>0</v>
      </c>
      <c r="AI29" s="166">
        <v>0.01</v>
      </c>
      <c r="AJ29" t="str">
        <f>_xlfn.CONCAT($AE$1,"=",AE29,",",$AG$1,"=",AG29,",",$AI$1,"=",AI29*10000)</f>
        <v>1=4800,3=150,101=100</v>
      </c>
    </row>
    <row r="30" spans="1:36" ht="16.5">
      <c r="A30" s="82">
        <v>3</v>
      </c>
      <c r="B30">
        <f t="shared" si="2"/>
        <v>308</v>
      </c>
      <c r="C30" s="82">
        <v>8</v>
      </c>
      <c r="D30" s="85">
        <f t="shared" si="1"/>
        <v>0</v>
      </c>
      <c r="E30" s="85">
        <f t="shared" si="1"/>
        <v>0</v>
      </c>
      <c r="F30" s="85">
        <f t="shared" si="1"/>
        <v>50</v>
      </c>
      <c r="G30" s="85">
        <f t="shared" si="1"/>
        <v>50</v>
      </c>
      <c r="H30" s="85"/>
      <c r="I30" s="85" t="str">
        <f>_xlfn.CONCAT($F$21,"=",F30,",",$G$21,"=",G30)</f>
        <v>3=50,5=50</v>
      </c>
      <c r="P30" s="167"/>
      <c r="Q30" s="167"/>
      <c r="R30" s="167"/>
      <c r="S30" s="82" t="s">
        <v>994</v>
      </c>
      <c r="T30" s="82" t="s">
        <v>995</v>
      </c>
      <c r="U30" s="82" t="s">
        <v>996</v>
      </c>
      <c r="V30" s="82" t="s">
        <v>997</v>
      </c>
      <c r="W30" s="82" t="s">
        <v>1961</v>
      </c>
      <c r="AB30" s="172">
        <f t="shared" si="0"/>
        <v>141</v>
      </c>
      <c r="AC30" s="163">
        <v>140</v>
      </c>
      <c r="AD30" s="165">
        <v>0.02</v>
      </c>
      <c r="AE30" s="163">
        <v>0</v>
      </c>
      <c r="AF30" s="163">
        <v>240</v>
      </c>
      <c r="AG30" s="163">
        <v>0</v>
      </c>
      <c r="AH30" s="163">
        <v>150</v>
      </c>
      <c r="AI30" s="166">
        <v>0.01</v>
      </c>
      <c r="AJ30" t="str">
        <f>_xlfn.CONCAT($AF$1,"=",AF30,",",$AH$1,"=",AH30,",",$AI$1,"=",AI30*10000)</f>
        <v>2=240,5=150,101=100</v>
      </c>
    </row>
    <row r="31" spans="1:36" ht="16.5">
      <c r="A31" s="82">
        <v>3</v>
      </c>
      <c r="B31">
        <f t="shared" si="2"/>
        <v>309</v>
      </c>
      <c r="C31" s="82">
        <v>9</v>
      </c>
      <c r="D31" s="85">
        <f t="shared" si="1"/>
        <v>1500</v>
      </c>
      <c r="E31" s="85">
        <f t="shared" si="1"/>
        <v>50</v>
      </c>
      <c r="F31" s="85">
        <f t="shared" si="1"/>
        <v>0</v>
      </c>
      <c r="G31" s="85">
        <f t="shared" si="1"/>
        <v>0</v>
      </c>
      <c r="H31" s="85"/>
      <c r="I31" s="85" t="str">
        <f>_xlfn.CONCAT($D$21,"=",D31,",",$E$21,"=",E31)</f>
        <v>1=1500,2=50</v>
      </c>
      <c r="P31" s="167">
        <f>Q31*100+R31</f>
        <v>105</v>
      </c>
      <c r="Q31" s="168">
        <v>1</v>
      </c>
      <c r="R31" s="168">
        <v>5</v>
      </c>
      <c r="S31" s="168">
        <f>INDEX($Q$4:$X$8,MATCH(S$30,$P$4:$P$8,0),MATCH($R31,$Q$2:$X$2,0))</f>
        <v>0</v>
      </c>
      <c r="T31" s="168">
        <f t="shared" ref="T31:W31" si="3">INDEX($Q$4:$X$8,MATCH(T$30,$P$4:$P$8,0),MATCH($R31,$Q$2:$X$2,0))</f>
        <v>0</v>
      </c>
      <c r="U31" s="168">
        <f t="shared" si="3"/>
        <v>100</v>
      </c>
      <c r="V31" s="168">
        <f t="shared" si="3"/>
        <v>100</v>
      </c>
      <c r="W31" s="168">
        <f t="shared" si="3"/>
        <v>2E-3</v>
      </c>
      <c r="X31" s="168" t="str">
        <f>_xlfn.CONCAT($U$29,"=",U31,",",$V$29,"=",V31,",",$W$29,"=",W31*10000)</f>
        <v>3=100,5=100,14=20</v>
      </c>
      <c r="AB31" s="172">
        <f t="shared" si="0"/>
        <v>141</v>
      </c>
      <c r="AC31" s="163">
        <v>145</v>
      </c>
      <c r="AD31" s="165">
        <v>0.02</v>
      </c>
      <c r="AE31" s="163">
        <v>4800</v>
      </c>
      <c r="AF31" s="163">
        <v>0</v>
      </c>
      <c r="AG31" s="163">
        <v>150</v>
      </c>
      <c r="AH31" s="163">
        <v>0</v>
      </c>
      <c r="AI31" s="166">
        <v>0.01</v>
      </c>
      <c r="AJ31" t="str">
        <f>_xlfn.CONCAT($AE$1,"=",AE31,",",$AG$1,"=",AG31,",",$AI$1,"=",AI31*10000)</f>
        <v>1=4800,3=150,101=100</v>
      </c>
    </row>
    <row r="32" spans="1:36" ht="16.5">
      <c r="A32" s="82">
        <v>3</v>
      </c>
      <c r="B32">
        <f t="shared" si="2"/>
        <v>310</v>
      </c>
      <c r="C32" s="82">
        <v>10</v>
      </c>
      <c r="D32" s="85">
        <f t="shared" si="1"/>
        <v>0</v>
      </c>
      <c r="E32" s="85">
        <f t="shared" si="1"/>
        <v>0</v>
      </c>
      <c r="F32" s="85">
        <f t="shared" si="1"/>
        <v>75</v>
      </c>
      <c r="G32" s="85">
        <f t="shared" si="1"/>
        <v>75</v>
      </c>
      <c r="H32" s="85"/>
      <c r="I32" s="85" t="str">
        <f>_xlfn.CONCAT($F$21,"=",F32,",",$G$21,"=",G32)</f>
        <v>3=75,5=75</v>
      </c>
      <c r="P32" s="167">
        <f t="shared" ref="P32:P54" si="4">Q32*100+R32</f>
        <v>110</v>
      </c>
      <c r="Q32" s="168">
        <v>1</v>
      </c>
      <c r="R32" s="168">
        <v>10</v>
      </c>
      <c r="S32" s="168">
        <f t="shared" ref="S32:W38" si="5">INDEX($Q$4:$X$8,MATCH(S$30,$P$4:$P$8,0),MATCH($R32,$Q$2:$X$2,0))</f>
        <v>2000</v>
      </c>
      <c r="T32" s="168">
        <f t="shared" si="5"/>
        <v>100</v>
      </c>
      <c r="U32" s="168">
        <f t="shared" si="5"/>
        <v>0</v>
      </c>
      <c r="V32" s="168">
        <f t="shared" si="5"/>
        <v>0</v>
      </c>
      <c r="W32" s="168">
        <f t="shared" si="5"/>
        <v>2E-3</v>
      </c>
      <c r="X32" s="168" t="str">
        <f>_xlfn.CONCAT($S$29,"=",S32,",",$T$29,"=",T32,",",$W$29,"=",W32*10000)</f>
        <v>1=2000,2=100,14=20</v>
      </c>
      <c r="AB32" s="172">
        <f t="shared" si="0"/>
        <v>141</v>
      </c>
      <c r="AC32" s="163">
        <v>150</v>
      </c>
      <c r="AD32" s="165">
        <v>0.03</v>
      </c>
      <c r="AE32" s="163">
        <v>0</v>
      </c>
      <c r="AF32" s="163">
        <v>240</v>
      </c>
      <c r="AG32" s="163">
        <v>0</v>
      </c>
      <c r="AH32" s="163">
        <v>150</v>
      </c>
      <c r="AI32" s="166">
        <v>0.01</v>
      </c>
      <c r="AJ32" t="str">
        <f>_xlfn.CONCAT($AF$1,"=",AF32,",",$AH$1,"=",AH32,",",$AI$1,"=",AI32*10000)</f>
        <v>2=240,5=150,101=100</v>
      </c>
    </row>
    <row r="33" spans="1:36" ht="16.5">
      <c r="A33" s="82">
        <v>4</v>
      </c>
      <c r="B33">
        <f t="shared" si="2"/>
        <v>401</v>
      </c>
      <c r="C33" s="82">
        <v>1</v>
      </c>
      <c r="D33" s="85">
        <f t="shared" ref="D33:G42" si="6">INDEX($C$11:$L$14,MATCH(D$22,$B$11:$B$14,0),MATCH($C33,$C$2:$L$2,0))</f>
        <v>1200</v>
      </c>
      <c r="E33" s="85">
        <f t="shared" si="6"/>
        <v>40</v>
      </c>
      <c r="F33" s="85">
        <f t="shared" si="6"/>
        <v>0</v>
      </c>
      <c r="G33" s="85">
        <f t="shared" si="6"/>
        <v>0</v>
      </c>
      <c r="I33" s="85" t="str">
        <f>_xlfn.CONCAT($D$21,"=",D33,",",$E$21,"=",E33)</f>
        <v>1=1200,2=40</v>
      </c>
      <c r="P33" s="167">
        <f t="shared" si="4"/>
        <v>115</v>
      </c>
      <c r="Q33" s="168">
        <v>1</v>
      </c>
      <c r="R33" s="168">
        <v>15</v>
      </c>
      <c r="S33" s="168">
        <f t="shared" si="5"/>
        <v>0</v>
      </c>
      <c r="T33" s="168">
        <f t="shared" si="5"/>
        <v>0</v>
      </c>
      <c r="U33" s="168">
        <f t="shared" si="5"/>
        <v>160</v>
      </c>
      <c r="V33" s="168">
        <f t="shared" si="5"/>
        <v>160</v>
      </c>
      <c r="W33" s="168">
        <f t="shared" si="5"/>
        <v>2E-3</v>
      </c>
      <c r="X33" s="168" t="str">
        <f>_xlfn.CONCAT($U$29,"=",U33,",",$V$29,"=",V33,",",$W$29,"=",W33*10000)</f>
        <v>3=160,5=160,14=20</v>
      </c>
      <c r="AB33" s="172">
        <f t="shared" si="0"/>
        <v>216</v>
      </c>
      <c r="AC33" s="163">
        <v>155</v>
      </c>
      <c r="AD33" s="165">
        <v>0.03</v>
      </c>
      <c r="AE33" s="163">
        <v>7200</v>
      </c>
      <c r="AF33" s="163">
        <v>0</v>
      </c>
      <c r="AG33" s="163">
        <v>240</v>
      </c>
      <c r="AH33" s="163">
        <v>0</v>
      </c>
      <c r="AI33" s="166">
        <v>0.01</v>
      </c>
      <c r="AJ33" t="str">
        <f>_xlfn.CONCAT($AE$1,"=",AE33,",",$AG$1,"=",AG33,",",$AI$1,"=",AI33*10000)</f>
        <v>1=7200,3=240,101=100</v>
      </c>
    </row>
    <row r="34" spans="1:36" ht="16.5">
      <c r="A34" s="82">
        <v>4</v>
      </c>
      <c r="B34">
        <f t="shared" si="2"/>
        <v>402</v>
      </c>
      <c r="C34" s="82">
        <v>2</v>
      </c>
      <c r="D34" s="85">
        <f t="shared" si="6"/>
        <v>0</v>
      </c>
      <c r="E34" s="85">
        <f t="shared" si="6"/>
        <v>0</v>
      </c>
      <c r="F34" s="85">
        <f t="shared" si="6"/>
        <v>32</v>
      </c>
      <c r="G34" s="85">
        <f t="shared" si="6"/>
        <v>32</v>
      </c>
      <c r="I34" s="85" t="str">
        <f>_xlfn.CONCAT($F$21,"=",F34,",",$G$21,"=",G34)</f>
        <v>3=32,5=32</v>
      </c>
      <c r="P34" s="167">
        <f t="shared" si="4"/>
        <v>120</v>
      </c>
      <c r="Q34" s="168">
        <v>1</v>
      </c>
      <c r="R34" s="168">
        <v>20</v>
      </c>
      <c r="S34" s="168">
        <f t="shared" si="5"/>
        <v>3200</v>
      </c>
      <c r="T34" s="168">
        <f t="shared" si="5"/>
        <v>160</v>
      </c>
      <c r="U34" s="168">
        <f t="shared" si="5"/>
        <v>0</v>
      </c>
      <c r="V34" s="168">
        <f t="shared" si="5"/>
        <v>0</v>
      </c>
      <c r="W34" s="168">
        <f t="shared" si="5"/>
        <v>2E-3</v>
      </c>
      <c r="X34" s="168" t="str">
        <f>_xlfn.CONCAT($S$29,"=",S34,",",$T$29,"=",T34,",",$W$29,"=",W34*10000)</f>
        <v>1=3200,2=160,14=20</v>
      </c>
      <c r="AB34" s="172">
        <f t="shared" si="0"/>
        <v>216</v>
      </c>
      <c r="AC34" s="163">
        <v>160</v>
      </c>
      <c r="AD34" s="165">
        <v>0.03</v>
      </c>
      <c r="AE34" s="163">
        <v>0</v>
      </c>
      <c r="AF34" s="163">
        <v>360</v>
      </c>
      <c r="AG34" s="163">
        <v>0</v>
      </c>
      <c r="AH34" s="163">
        <v>240</v>
      </c>
      <c r="AI34" s="166">
        <v>0.01</v>
      </c>
      <c r="AJ34" t="str">
        <f>_xlfn.CONCAT($AF$1,"=",AF34,",",$AH$1,"=",AH34,",",$AI$1,"=",AI34*10000)</f>
        <v>2=360,5=240,101=100</v>
      </c>
    </row>
    <row r="35" spans="1:36" ht="16.5">
      <c r="A35" s="82">
        <v>4</v>
      </c>
      <c r="B35">
        <f t="shared" si="2"/>
        <v>403</v>
      </c>
      <c r="C35" s="82">
        <v>3</v>
      </c>
      <c r="D35" s="85">
        <f t="shared" si="6"/>
        <v>1200</v>
      </c>
      <c r="E35" s="85">
        <f t="shared" si="6"/>
        <v>40</v>
      </c>
      <c r="F35" s="85">
        <f t="shared" si="6"/>
        <v>0</v>
      </c>
      <c r="G35" s="85">
        <f t="shared" si="6"/>
        <v>0</v>
      </c>
      <c r="I35" s="85" t="str">
        <f>_xlfn.CONCAT($D$21,"=",D35,",",$E$21,"=",E35)</f>
        <v>1=1200,2=40</v>
      </c>
      <c r="P35" s="167">
        <f t="shared" si="4"/>
        <v>125</v>
      </c>
      <c r="Q35" s="168">
        <v>1</v>
      </c>
      <c r="R35" s="168">
        <v>25</v>
      </c>
      <c r="S35" s="168">
        <f t="shared" si="5"/>
        <v>0</v>
      </c>
      <c r="T35" s="168">
        <f t="shared" si="5"/>
        <v>0</v>
      </c>
      <c r="U35" s="168">
        <f t="shared" si="5"/>
        <v>200</v>
      </c>
      <c r="V35" s="168">
        <f t="shared" si="5"/>
        <v>200</v>
      </c>
      <c r="W35" s="168">
        <f t="shared" si="5"/>
        <v>2E-3</v>
      </c>
      <c r="X35" s="168" t="str">
        <f>_xlfn.CONCAT($U$29,"=",U35,",",$V$29,"=",V35,",",$W$29,"=",W35*10000)</f>
        <v>3=200,5=200,14=20</v>
      </c>
      <c r="AB35" s="172">
        <f t="shared" ref="AB35:AB52" si="7">AE35*0.02+AF35*0.4+AG35*0.3+AH35*0.3</f>
        <v>216</v>
      </c>
      <c r="AC35" s="163">
        <v>165</v>
      </c>
      <c r="AD35" s="165">
        <v>0.03</v>
      </c>
      <c r="AE35" s="163">
        <v>7200</v>
      </c>
      <c r="AF35" s="163">
        <v>0</v>
      </c>
      <c r="AG35" s="163">
        <v>240</v>
      </c>
      <c r="AH35" s="163">
        <v>0</v>
      </c>
      <c r="AI35" s="166">
        <v>0.01</v>
      </c>
      <c r="AJ35" t="str">
        <f>_xlfn.CONCAT($AE$1,"=",AE35,",",$AG$1,"=",AG35,",",$AI$1,"=",AI35*10000)</f>
        <v>1=7200,3=240,101=100</v>
      </c>
    </row>
    <row r="36" spans="1:36" ht="16.5">
      <c r="A36" s="82">
        <v>4</v>
      </c>
      <c r="B36">
        <f t="shared" si="2"/>
        <v>404</v>
      </c>
      <c r="C36" s="82">
        <v>4</v>
      </c>
      <c r="D36" s="85">
        <f t="shared" si="6"/>
        <v>0</v>
      </c>
      <c r="E36" s="85">
        <f t="shared" si="6"/>
        <v>0</v>
      </c>
      <c r="F36" s="85">
        <f t="shared" si="6"/>
        <v>32</v>
      </c>
      <c r="G36" s="85">
        <f t="shared" si="6"/>
        <v>32</v>
      </c>
      <c r="I36" s="85" t="str">
        <f>_xlfn.CONCAT($F$21,"=",F36,",",$G$21,"=",G36)</f>
        <v>3=32,5=32</v>
      </c>
      <c r="P36" s="167">
        <f t="shared" si="4"/>
        <v>130</v>
      </c>
      <c r="Q36" s="168">
        <v>1</v>
      </c>
      <c r="R36" s="168">
        <v>30</v>
      </c>
      <c r="S36" s="168">
        <f t="shared" si="5"/>
        <v>4000</v>
      </c>
      <c r="T36" s="168">
        <f t="shared" si="5"/>
        <v>200</v>
      </c>
      <c r="U36" s="168">
        <f t="shared" si="5"/>
        <v>0</v>
      </c>
      <c r="V36" s="168">
        <f t="shared" si="5"/>
        <v>0</v>
      </c>
      <c r="W36" s="168">
        <f t="shared" si="5"/>
        <v>2E-3</v>
      </c>
      <c r="X36" s="168" t="str">
        <f>_xlfn.CONCAT($S$29,"=",S36,",",$T$29,"=",T36,",",$W$29,"=",W36*10000)</f>
        <v>1=4000,2=200,14=20</v>
      </c>
      <c r="AB36" s="172">
        <f t="shared" si="7"/>
        <v>216</v>
      </c>
      <c r="AC36" s="163">
        <v>170</v>
      </c>
      <c r="AD36" s="165">
        <v>0.03</v>
      </c>
      <c r="AE36" s="163">
        <v>0</v>
      </c>
      <c r="AF36" s="163">
        <v>360</v>
      </c>
      <c r="AG36" s="163">
        <v>0</v>
      </c>
      <c r="AH36" s="163">
        <v>240</v>
      </c>
      <c r="AI36" s="166">
        <v>0.01</v>
      </c>
      <c r="AJ36" t="str">
        <f>_xlfn.CONCAT($AF$1,"=",AF36,",",$AH$1,"=",AH36,",",$AI$1,"=",AI36*10000)</f>
        <v>2=360,5=240,101=100</v>
      </c>
    </row>
    <row r="37" spans="1:36" ht="16.5">
      <c r="A37" s="82">
        <v>4</v>
      </c>
      <c r="B37">
        <f t="shared" si="2"/>
        <v>405</v>
      </c>
      <c r="C37" s="82">
        <v>5</v>
      </c>
      <c r="D37" s="85">
        <f t="shared" si="6"/>
        <v>1500</v>
      </c>
      <c r="E37" s="85">
        <f t="shared" si="6"/>
        <v>50</v>
      </c>
      <c r="F37" s="85">
        <f t="shared" si="6"/>
        <v>0</v>
      </c>
      <c r="G37" s="85">
        <f t="shared" si="6"/>
        <v>0</v>
      </c>
      <c r="I37" s="85" t="str">
        <f>_xlfn.CONCAT($D$21,"=",D37,",",$E$21,"=",E37)</f>
        <v>1=1500,2=50</v>
      </c>
      <c r="P37" s="167">
        <f t="shared" si="4"/>
        <v>135</v>
      </c>
      <c r="Q37" s="168">
        <v>1</v>
      </c>
      <c r="R37" s="168">
        <v>35</v>
      </c>
      <c r="S37" s="168">
        <f t="shared" si="5"/>
        <v>0</v>
      </c>
      <c r="T37" s="168">
        <f t="shared" si="5"/>
        <v>0</v>
      </c>
      <c r="U37" s="168">
        <f t="shared" si="5"/>
        <v>250</v>
      </c>
      <c r="V37" s="168">
        <f t="shared" si="5"/>
        <v>250</v>
      </c>
      <c r="W37" s="168">
        <f t="shared" si="5"/>
        <v>2E-3</v>
      </c>
      <c r="X37" s="168" t="str">
        <f>_xlfn.CONCAT($U$29,"=",U37,",",$V$29,"=",V37,",",$W$29,"=",W37*10000)</f>
        <v>3=250,5=250,14=20</v>
      </c>
      <c r="AB37" s="172">
        <f t="shared" si="7"/>
        <v>216</v>
      </c>
      <c r="AC37" s="163">
        <v>175</v>
      </c>
      <c r="AD37" s="165">
        <v>0.03</v>
      </c>
      <c r="AE37" s="163">
        <v>7200</v>
      </c>
      <c r="AF37" s="163">
        <v>0</v>
      </c>
      <c r="AG37" s="163">
        <v>240</v>
      </c>
      <c r="AH37" s="163">
        <v>0</v>
      </c>
      <c r="AI37" s="166">
        <v>0.01</v>
      </c>
      <c r="AJ37" t="str">
        <f>_xlfn.CONCAT($AE$1,"=",AE37,",",$AG$1,"=",AG37,",",$AI$1,"=",AI37*10000)</f>
        <v>1=7200,3=240,101=100</v>
      </c>
    </row>
    <row r="38" spans="1:36" ht="16.5">
      <c r="A38" s="82">
        <v>4</v>
      </c>
      <c r="B38">
        <f t="shared" si="2"/>
        <v>406</v>
      </c>
      <c r="C38" s="82">
        <v>6</v>
      </c>
      <c r="D38" s="85">
        <f t="shared" si="6"/>
        <v>0</v>
      </c>
      <c r="E38" s="85">
        <f t="shared" si="6"/>
        <v>0</v>
      </c>
      <c r="F38" s="85">
        <f t="shared" si="6"/>
        <v>50</v>
      </c>
      <c r="G38" s="85">
        <f t="shared" si="6"/>
        <v>50</v>
      </c>
      <c r="I38" s="85" t="str">
        <f>_xlfn.CONCAT($F$21,"=",F38,",",$G$21,"=",G38)</f>
        <v>3=50,5=50</v>
      </c>
      <c r="P38" s="167">
        <f t="shared" si="4"/>
        <v>140</v>
      </c>
      <c r="Q38" s="168">
        <v>1</v>
      </c>
      <c r="R38" s="168">
        <v>40</v>
      </c>
      <c r="S38" s="168">
        <f t="shared" si="5"/>
        <v>5000</v>
      </c>
      <c r="T38" s="168">
        <f t="shared" si="5"/>
        <v>250</v>
      </c>
      <c r="U38" s="168">
        <f t="shared" si="5"/>
        <v>0</v>
      </c>
      <c r="V38" s="168">
        <f t="shared" si="5"/>
        <v>0</v>
      </c>
      <c r="W38" s="168">
        <f t="shared" si="5"/>
        <v>2E-3</v>
      </c>
      <c r="X38" s="168" t="str">
        <f>_xlfn.CONCAT($S$29,"=",S38,",",$T$29,"=",T38,",",$W$29,"=",W38*10000)</f>
        <v>1=5000,2=250,14=20</v>
      </c>
      <c r="AB38" s="172">
        <f t="shared" si="7"/>
        <v>216</v>
      </c>
      <c r="AC38" s="163">
        <v>180</v>
      </c>
      <c r="AD38" s="165">
        <v>0.03</v>
      </c>
      <c r="AE38" s="163">
        <v>0</v>
      </c>
      <c r="AF38" s="163">
        <v>360</v>
      </c>
      <c r="AG38" s="163">
        <v>0</v>
      </c>
      <c r="AH38" s="163">
        <v>240</v>
      </c>
      <c r="AI38" s="166">
        <v>0.01</v>
      </c>
      <c r="AJ38" t="str">
        <f>_xlfn.CONCAT($AF$1,"=",AF38,",",$AH$1,"=",AH38,",",$AI$1,"=",AI38*10000)</f>
        <v>2=360,5=240,101=100</v>
      </c>
    </row>
    <row r="39" spans="1:36" ht="16.5">
      <c r="A39" s="82">
        <v>4</v>
      </c>
      <c r="B39">
        <f t="shared" si="2"/>
        <v>407</v>
      </c>
      <c r="C39" s="82">
        <v>7</v>
      </c>
      <c r="D39" s="85">
        <f t="shared" si="6"/>
        <v>1500</v>
      </c>
      <c r="E39" s="85">
        <f t="shared" si="6"/>
        <v>50</v>
      </c>
      <c r="F39" s="85">
        <f t="shared" si="6"/>
        <v>0</v>
      </c>
      <c r="G39" s="85">
        <f t="shared" si="6"/>
        <v>0</v>
      </c>
      <c r="I39" s="85" t="str">
        <f>_xlfn.CONCAT($D$21,"=",D39,",",$E$21,"=",E39)</f>
        <v>1=1500,2=50</v>
      </c>
      <c r="P39" s="167">
        <f t="shared" si="4"/>
        <v>205</v>
      </c>
      <c r="Q39" s="169">
        <v>2</v>
      </c>
      <c r="R39" s="169">
        <v>5</v>
      </c>
      <c r="S39" s="169">
        <f>INDEX($Q$13:$X$17,MATCH(S$30,$P$4:$P$8,0),MATCH($R39,$Q$2:$X$2,0))</f>
        <v>2000</v>
      </c>
      <c r="T39" s="169">
        <f t="shared" ref="T39:W39" si="8">INDEX($Q$13:$X$17,MATCH(T$30,$P$4:$P$8,0),MATCH($R39,$Q$2:$X$2,0))</f>
        <v>0</v>
      </c>
      <c r="U39" s="169">
        <f t="shared" si="8"/>
        <v>100</v>
      </c>
      <c r="V39" s="169">
        <f t="shared" si="8"/>
        <v>0</v>
      </c>
      <c r="W39" s="169">
        <f t="shared" si="8"/>
        <v>2E-3</v>
      </c>
      <c r="X39" s="169" t="str">
        <f>_xlfn.CONCAT($S$29,"=",S39,",",$U$29,"=",U39,",",$W$29,"=",W39*10000)</f>
        <v>1=2000,3=100,14=20</v>
      </c>
      <c r="AB39" s="172">
        <f t="shared" si="7"/>
        <v>216</v>
      </c>
      <c r="AC39" s="163">
        <v>185</v>
      </c>
      <c r="AD39" s="165">
        <v>0.03</v>
      </c>
      <c r="AE39" s="163">
        <v>7200</v>
      </c>
      <c r="AF39" s="163">
        <v>0</v>
      </c>
      <c r="AG39" s="163">
        <v>240</v>
      </c>
      <c r="AH39" s="163">
        <v>0</v>
      </c>
      <c r="AI39" s="166">
        <v>0.01</v>
      </c>
      <c r="AJ39" t="str">
        <f>_xlfn.CONCAT($AE$1,"=",AE39,",",$AG$1,"=",AG39,",",$AI$1,"=",AI39*10000)</f>
        <v>1=7200,3=240,101=100</v>
      </c>
    </row>
    <row r="40" spans="1:36" ht="16.5">
      <c r="A40" s="82">
        <v>4</v>
      </c>
      <c r="B40">
        <f t="shared" si="2"/>
        <v>408</v>
      </c>
      <c r="C40" s="82">
        <v>8</v>
      </c>
      <c r="D40" s="85">
        <f t="shared" si="6"/>
        <v>0</v>
      </c>
      <c r="E40" s="85">
        <f t="shared" si="6"/>
        <v>0</v>
      </c>
      <c r="F40" s="85">
        <f t="shared" si="6"/>
        <v>70</v>
      </c>
      <c r="G40" s="85">
        <f t="shared" si="6"/>
        <v>70</v>
      </c>
      <c r="I40" s="85" t="str">
        <f>_xlfn.CONCAT($F$21,"=",F40,",",$G$21,"=",G40)</f>
        <v>3=70,5=70</v>
      </c>
      <c r="P40" s="167">
        <f t="shared" si="4"/>
        <v>210</v>
      </c>
      <c r="Q40" s="169">
        <v>2</v>
      </c>
      <c r="R40" s="169">
        <v>10</v>
      </c>
      <c r="S40" s="169">
        <f t="shared" ref="S40:W46" si="9">INDEX($Q$13:$X$17,MATCH(S$30,$P$4:$P$8,0),MATCH($R40,$Q$2:$X$2,0))</f>
        <v>2000</v>
      </c>
      <c r="T40" s="169">
        <f t="shared" si="9"/>
        <v>0</v>
      </c>
      <c r="U40" s="169">
        <f t="shared" si="9"/>
        <v>0</v>
      </c>
      <c r="V40" s="169">
        <f t="shared" si="9"/>
        <v>100</v>
      </c>
      <c r="W40" s="169">
        <f t="shared" si="9"/>
        <v>2E-3</v>
      </c>
      <c r="X40" s="169" t="str">
        <f>_xlfn.CONCAT($S$29,"=",S40,",",$V$29,"=",V40,",",$W$29,"=",W40*10000)</f>
        <v>1=2000,5=100,14=20</v>
      </c>
      <c r="AB40" s="172">
        <f t="shared" si="7"/>
        <v>216</v>
      </c>
      <c r="AC40" s="163">
        <v>190</v>
      </c>
      <c r="AD40" s="165">
        <v>0.03</v>
      </c>
      <c r="AE40" s="163">
        <v>0</v>
      </c>
      <c r="AF40" s="163">
        <v>360</v>
      </c>
      <c r="AG40" s="163">
        <v>0</v>
      </c>
      <c r="AH40" s="163">
        <v>240</v>
      </c>
      <c r="AI40" s="166">
        <v>0.01</v>
      </c>
      <c r="AJ40" t="str">
        <f>_xlfn.CONCAT($AF$1,"=",AF40,",",$AH$1,"=",AH40,",",$AI$1,"=",AI40*10000)</f>
        <v>2=360,5=240,101=100</v>
      </c>
    </row>
    <row r="41" spans="1:36" ht="16.5">
      <c r="A41" s="82">
        <v>4</v>
      </c>
      <c r="B41">
        <f t="shared" si="2"/>
        <v>409</v>
      </c>
      <c r="C41" s="82">
        <v>9</v>
      </c>
      <c r="D41" s="85">
        <f t="shared" si="6"/>
        <v>1800</v>
      </c>
      <c r="E41" s="85">
        <f t="shared" si="6"/>
        <v>60</v>
      </c>
      <c r="F41" s="85">
        <f t="shared" si="6"/>
        <v>0</v>
      </c>
      <c r="G41" s="85">
        <f t="shared" si="6"/>
        <v>0</v>
      </c>
      <c r="I41" s="85" t="str">
        <f>_xlfn.CONCAT($D$21,"=",D41,",",$E$21,"=",E41)</f>
        <v>1=1800,2=60</v>
      </c>
      <c r="P41" s="167">
        <f t="shared" si="4"/>
        <v>215</v>
      </c>
      <c r="Q41" s="169">
        <v>2</v>
      </c>
      <c r="R41" s="169">
        <v>15</v>
      </c>
      <c r="S41" s="169">
        <f t="shared" si="9"/>
        <v>3200</v>
      </c>
      <c r="T41" s="169">
        <f t="shared" si="9"/>
        <v>0</v>
      </c>
      <c r="U41" s="169">
        <f t="shared" si="9"/>
        <v>160</v>
      </c>
      <c r="V41" s="169">
        <f t="shared" si="9"/>
        <v>0</v>
      </c>
      <c r="W41" s="169">
        <f t="shared" si="9"/>
        <v>2E-3</v>
      </c>
      <c r="X41" s="169" t="str">
        <f>_xlfn.CONCAT($S$29,"=",S41,",",$U$29,"=",U41,",",$W$29,"=",W41*10000)</f>
        <v>1=3200,3=160,14=20</v>
      </c>
      <c r="AB41" s="172">
        <f t="shared" si="7"/>
        <v>216</v>
      </c>
      <c r="AC41" s="163">
        <v>195</v>
      </c>
      <c r="AD41" s="165">
        <v>0.03</v>
      </c>
      <c r="AE41" s="163">
        <v>7200</v>
      </c>
      <c r="AF41" s="163">
        <v>0</v>
      </c>
      <c r="AG41" s="163">
        <v>240</v>
      </c>
      <c r="AH41" s="163">
        <v>0</v>
      </c>
      <c r="AI41" s="166">
        <v>0.01</v>
      </c>
      <c r="AJ41" t="str">
        <f>_xlfn.CONCAT($AE$1,"=",AE41,",",$AG$1,"=",AG41,",",$AI$1,"=",AI41*10000)</f>
        <v>1=7200,3=240,101=100</v>
      </c>
    </row>
    <row r="42" spans="1:36" ht="16.5">
      <c r="A42" s="82">
        <v>4</v>
      </c>
      <c r="B42">
        <f t="shared" si="2"/>
        <v>410</v>
      </c>
      <c r="C42" s="82">
        <v>10</v>
      </c>
      <c r="D42" s="85">
        <f t="shared" si="6"/>
        <v>0</v>
      </c>
      <c r="E42" s="85">
        <f t="shared" si="6"/>
        <v>0</v>
      </c>
      <c r="F42" s="85">
        <f t="shared" si="6"/>
        <v>90</v>
      </c>
      <c r="G42" s="85">
        <f t="shared" si="6"/>
        <v>90</v>
      </c>
      <c r="I42" s="85" t="str">
        <f>_xlfn.CONCAT($F$21,"=",F42,",",$G$21,"=",G42)</f>
        <v>3=90,5=90</v>
      </c>
      <c r="P42" s="167">
        <f t="shared" si="4"/>
        <v>220</v>
      </c>
      <c r="Q42" s="169">
        <v>2</v>
      </c>
      <c r="R42" s="169">
        <v>20</v>
      </c>
      <c r="S42" s="169">
        <f t="shared" si="9"/>
        <v>3200</v>
      </c>
      <c r="T42" s="169">
        <f t="shared" si="9"/>
        <v>0</v>
      </c>
      <c r="U42" s="169">
        <f t="shared" si="9"/>
        <v>0</v>
      </c>
      <c r="V42" s="169">
        <f t="shared" si="9"/>
        <v>160</v>
      </c>
      <c r="W42" s="169">
        <f t="shared" si="9"/>
        <v>2E-3</v>
      </c>
      <c r="X42" s="169" t="str">
        <f>_xlfn.CONCAT($S$29,"=",S42,",",$V$29,"=",V42,",",$W$29,"=",W42*10000)</f>
        <v>1=3200,5=160,14=20</v>
      </c>
      <c r="AB42" s="172">
        <f t="shared" si="7"/>
        <v>216</v>
      </c>
      <c r="AC42" s="163">
        <v>200</v>
      </c>
      <c r="AD42" s="165">
        <v>0.03</v>
      </c>
      <c r="AE42" s="163">
        <v>0</v>
      </c>
      <c r="AF42" s="163">
        <v>360</v>
      </c>
      <c r="AG42" s="163">
        <v>0</v>
      </c>
      <c r="AH42" s="163">
        <v>240</v>
      </c>
      <c r="AI42" s="166">
        <v>0.01</v>
      </c>
      <c r="AJ42" t="str">
        <f>_xlfn.CONCAT($AF$1,"=",AF42,",",$AH$1,"=",AH42,",",$AI$1,"=",AI42*10000)</f>
        <v>2=360,5=240,101=100</v>
      </c>
    </row>
    <row r="43" spans="1:36" ht="16.5">
      <c r="A43" s="82">
        <v>5</v>
      </c>
      <c r="B43">
        <f t="shared" si="2"/>
        <v>501</v>
      </c>
      <c r="C43" s="82">
        <v>1</v>
      </c>
      <c r="D43" s="85">
        <f t="shared" ref="D43:G52" si="10">INDEX($C$6:$L$10,MATCH(D$22,$B$6:$B$10,0),MATCH($C43,$C$2:$L$2,0))</f>
        <v>1500</v>
      </c>
      <c r="E43" s="85">
        <f t="shared" si="10"/>
        <v>50</v>
      </c>
      <c r="F43" s="85">
        <f t="shared" si="10"/>
        <v>0</v>
      </c>
      <c r="G43" s="85">
        <f t="shared" si="10"/>
        <v>0</v>
      </c>
      <c r="H43" s="85">
        <f t="shared" ref="H43:H52" si="11">INDEX($C$6:$L$10,MATCH(H$22,$B$6:$B$10,0),MATCH($C43,$C$2:$L$2,0))*10000</f>
        <v>0</v>
      </c>
      <c r="I43" s="85" t="str">
        <f>_xlfn.CONCAT($D$21,"=",D43,",",$E$21,"=",E43)</f>
        <v>1=1500,2=50</v>
      </c>
      <c r="P43" s="167">
        <f t="shared" si="4"/>
        <v>225</v>
      </c>
      <c r="Q43" s="169">
        <v>2</v>
      </c>
      <c r="R43" s="169">
        <v>25</v>
      </c>
      <c r="S43" s="169">
        <f t="shared" si="9"/>
        <v>4000</v>
      </c>
      <c r="T43" s="169">
        <f t="shared" si="9"/>
        <v>0</v>
      </c>
      <c r="U43" s="169">
        <f t="shared" si="9"/>
        <v>200</v>
      </c>
      <c r="V43" s="169">
        <f t="shared" si="9"/>
        <v>0</v>
      </c>
      <c r="W43" s="169">
        <f t="shared" si="9"/>
        <v>2E-3</v>
      </c>
      <c r="X43" s="169" t="str">
        <f>_xlfn.CONCAT($S$29,"=",S43,",",$U$29,"=",U43,",",$W$29,"=",W43*10000)</f>
        <v>1=4000,3=200,14=20</v>
      </c>
      <c r="AB43" s="172">
        <f t="shared" si="7"/>
        <v>216</v>
      </c>
      <c r="AC43" s="163">
        <v>205</v>
      </c>
      <c r="AD43" s="165">
        <v>0.03</v>
      </c>
      <c r="AE43" s="163">
        <v>7200</v>
      </c>
      <c r="AF43" s="163">
        <v>0</v>
      </c>
      <c r="AG43" s="163">
        <v>240</v>
      </c>
      <c r="AH43" s="163">
        <v>0</v>
      </c>
      <c r="AI43" s="166">
        <v>0.01</v>
      </c>
      <c r="AJ43" t="str">
        <f>_xlfn.CONCAT($AE$1,"=",AE43,",",$AG$1,"=",AG43,",",$AI$1,"=",AI43*10000)</f>
        <v>1=7200,3=240,101=100</v>
      </c>
    </row>
    <row r="44" spans="1:36" ht="16.5">
      <c r="A44" s="82">
        <v>5</v>
      </c>
      <c r="B44">
        <f t="shared" si="2"/>
        <v>502</v>
      </c>
      <c r="C44" s="82">
        <v>2</v>
      </c>
      <c r="D44" s="85">
        <f t="shared" si="10"/>
        <v>0</v>
      </c>
      <c r="E44" s="85">
        <f t="shared" si="10"/>
        <v>0</v>
      </c>
      <c r="F44" s="85">
        <f t="shared" si="10"/>
        <v>40</v>
      </c>
      <c r="G44" s="85">
        <f t="shared" si="10"/>
        <v>40</v>
      </c>
      <c r="H44" s="85">
        <f t="shared" si="11"/>
        <v>33</v>
      </c>
      <c r="I44" s="85" t="str">
        <f>_xlfn.CONCAT($F$21,"=",F44,",",$G$21,"=",G44,",",$H$21,"=",H44)</f>
        <v>3=40,5=40,14=33</v>
      </c>
      <c r="N44" s="167"/>
      <c r="O44" s="167"/>
      <c r="P44" s="167">
        <f t="shared" si="4"/>
        <v>230</v>
      </c>
      <c r="Q44" s="169">
        <v>2</v>
      </c>
      <c r="R44" s="169">
        <v>30</v>
      </c>
      <c r="S44" s="169">
        <f t="shared" si="9"/>
        <v>4000</v>
      </c>
      <c r="T44" s="169">
        <f t="shared" si="9"/>
        <v>0</v>
      </c>
      <c r="U44" s="169">
        <f t="shared" si="9"/>
        <v>0</v>
      </c>
      <c r="V44" s="169">
        <f t="shared" si="9"/>
        <v>200</v>
      </c>
      <c r="W44" s="169">
        <f t="shared" si="9"/>
        <v>2E-3</v>
      </c>
      <c r="X44" s="169" t="str">
        <f>_xlfn.CONCAT($S$29,"=",S44,",",$V$29,"=",V44,",",$W$29,"=",W44*10000)</f>
        <v>1=4000,5=200,14=20</v>
      </c>
      <c r="AB44" s="172">
        <f t="shared" si="7"/>
        <v>216</v>
      </c>
      <c r="AC44" s="163">
        <v>210</v>
      </c>
      <c r="AD44" s="165">
        <v>0.03</v>
      </c>
      <c r="AE44" s="163">
        <v>0</v>
      </c>
      <c r="AF44" s="163">
        <v>360</v>
      </c>
      <c r="AG44" s="163">
        <v>0</v>
      </c>
      <c r="AH44" s="163">
        <v>240</v>
      </c>
      <c r="AI44" s="166">
        <v>0.01</v>
      </c>
      <c r="AJ44" t="str">
        <f>_xlfn.CONCAT($AF$1,"=",AF44,",",$AH$1,"=",AH44,",",$AI$1,"=",AI44*10000)</f>
        <v>2=360,5=240,101=100</v>
      </c>
    </row>
    <row r="45" spans="1:36" ht="16.5">
      <c r="A45" s="82">
        <v>5</v>
      </c>
      <c r="B45">
        <f t="shared" si="2"/>
        <v>503</v>
      </c>
      <c r="C45" s="82">
        <v>3</v>
      </c>
      <c r="D45" s="85">
        <f t="shared" si="10"/>
        <v>1500</v>
      </c>
      <c r="E45" s="85">
        <f t="shared" si="10"/>
        <v>50</v>
      </c>
      <c r="F45" s="85">
        <f t="shared" si="10"/>
        <v>0</v>
      </c>
      <c r="G45" s="85">
        <f t="shared" si="10"/>
        <v>0</v>
      </c>
      <c r="H45" s="85">
        <f t="shared" si="11"/>
        <v>0</v>
      </c>
      <c r="I45" s="85" t="str">
        <f>_xlfn.CONCAT($D$21,"=",D45,",",$E$21,"=",E45)</f>
        <v>1=1500,2=50</v>
      </c>
      <c r="N45" s="167"/>
      <c r="O45" s="167"/>
      <c r="P45" s="167">
        <f t="shared" si="4"/>
        <v>235</v>
      </c>
      <c r="Q45" s="169">
        <v>2</v>
      </c>
      <c r="R45" s="169">
        <v>35</v>
      </c>
      <c r="S45" s="169">
        <f t="shared" si="9"/>
        <v>5000</v>
      </c>
      <c r="T45" s="169">
        <f t="shared" si="9"/>
        <v>0</v>
      </c>
      <c r="U45" s="169">
        <f t="shared" si="9"/>
        <v>250</v>
      </c>
      <c r="V45" s="169">
        <f t="shared" si="9"/>
        <v>0</v>
      </c>
      <c r="W45" s="169">
        <f t="shared" si="9"/>
        <v>2E-3</v>
      </c>
      <c r="X45" s="169" t="str">
        <f>_xlfn.CONCAT($S$29,"=",S45,",",$U$29,"=",U45,",",$W$29,"=",W45*10000)</f>
        <v>1=5000,3=250,14=20</v>
      </c>
      <c r="AB45" s="172">
        <f t="shared" si="7"/>
        <v>216</v>
      </c>
      <c r="AC45" s="163">
        <v>215</v>
      </c>
      <c r="AD45" s="165">
        <v>0.03</v>
      </c>
      <c r="AE45" s="163">
        <v>7200</v>
      </c>
      <c r="AF45" s="163">
        <v>0</v>
      </c>
      <c r="AG45" s="163">
        <v>240</v>
      </c>
      <c r="AH45" s="163">
        <v>0</v>
      </c>
      <c r="AI45" s="166">
        <v>0.01</v>
      </c>
      <c r="AJ45" t="str">
        <f>_xlfn.CONCAT($AE$1,"=",AE45,",",$AG$1,"=",AG45,",",$AI$1,"=",AI45*10000)</f>
        <v>1=7200,3=240,101=100</v>
      </c>
    </row>
    <row r="46" spans="1:36" ht="16.5">
      <c r="A46" s="82">
        <v>5</v>
      </c>
      <c r="B46">
        <f t="shared" si="2"/>
        <v>504</v>
      </c>
      <c r="C46" s="82">
        <v>4</v>
      </c>
      <c r="D46" s="85">
        <f t="shared" si="10"/>
        <v>0</v>
      </c>
      <c r="E46" s="85">
        <f t="shared" si="10"/>
        <v>0</v>
      </c>
      <c r="F46" s="85">
        <f t="shared" si="10"/>
        <v>60</v>
      </c>
      <c r="G46" s="85">
        <f t="shared" si="10"/>
        <v>60</v>
      </c>
      <c r="H46" s="85">
        <f t="shared" si="11"/>
        <v>33</v>
      </c>
      <c r="I46" s="85" t="str">
        <f>_xlfn.CONCAT($F$21,"=",F46,",",$G$21,"=",G46,",",$H$21,"=",H46)</f>
        <v>3=60,5=60,14=33</v>
      </c>
      <c r="N46" s="167"/>
      <c r="O46" s="167"/>
      <c r="P46" s="167">
        <f t="shared" si="4"/>
        <v>240</v>
      </c>
      <c r="Q46" s="169">
        <v>2</v>
      </c>
      <c r="R46" s="169">
        <v>40</v>
      </c>
      <c r="S46" s="169">
        <f t="shared" si="9"/>
        <v>5000</v>
      </c>
      <c r="T46" s="169">
        <f t="shared" si="9"/>
        <v>0</v>
      </c>
      <c r="U46" s="169">
        <f t="shared" si="9"/>
        <v>0</v>
      </c>
      <c r="V46" s="169">
        <f t="shared" si="9"/>
        <v>250</v>
      </c>
      <c r="W46" s="169">
        <f t="shared" si="9"/>
        <v>2E-3</v>
      </c>
      <c r="X46" s="169" t="str">
        <f>_xlfn.CONCAT($S$29,"=",S46,",",$V$29,"=",V46,",",$W$29,"=",W46*10000)</f>
        <v>1=5000,5=250,14=20</v>
      </c>
      <c r="AB46" s="172">
        <f t="shared" si="7"/>
        <v>216</v>
      </c>
      <c r="AC46" s="163">
        <v>220</v>
      </c>
      <c r="AD46" s="165">
        <v>0.03</v>
      </c>
      <c r="AE46" s="163">
        <v>0</v>
      </c>
      <c r="AF46" s="163">
        <v>360</v>
      </c>
      <c r="AG46" s="163">
        <v>0</v>
      </c>
      <c r="AH46" s="163">
        <v>240</v>
      </c>
      <c r="AI46" s="166">
        <v>0.01</v>
      </c>
      <c r="AJ46" t="str">
        <f>_xlfn.CONCAT($AF$1,"=",AF46,",",$AH$1,"=",AH46,",",$AI$1,"=",AI46*10000)</f>
        <v>2=360,5=240,101=100</v>
      </c>
    </row>
    <row r="47" spans="1:36" ht="16.5">
      <c r="A47" s="82">
        <v>5</v>
      </c>
      <c r="B47">
        <f t="shared" si="2"/>
        <v>505</v>
      </c>
      <c r="C47" s="82">
        <v>5</v>
      </c>
      <c r="D47" s="85">
        <f t="shared" si="10"/>
        <v>1800</v>
      </c>
      <c r="E47" s="85">
        <f t="shared" si="10"/>
        <v>60</v>
      </c>
      <c r="F47" s="85">
        <f t="shared" si="10"/>
        <v>0</v>
      </c>
      <c r="G47" s="85">
        <f t="shared" si="10"/>
        <v>0</v>
      </c>
      <c r="H47" s="85">
        <f t="shared" si="11"/>
        <v>0</v>
      </c>
      <c r="I47" s="85" t="str">
        <f>_xlfn.CONCAT($D$21,"=",D47,",",$E$21,"=",E47)</f>
        <v>1=1800,2=60</v>
      </c>
      <c r="N47" s="167"/>
      <c r="O47" s="167"/>
      <c r="P47" s="167">
        <f t="shared" si="4"/>
        <v>305</v>
      </c>
      <c r="Q47" s="170">
        <v>3</v>
      </c>
      <c r="R47" s="170">
        <v>5</v>
      </c>
      <c r="S47" s="170">
        <f>INDEX($Q$22:$X$26,MATCH(S$30,$P$4:$P$8,0),MATCH($R47,$Q$2:$X$2,0))</f>
        <v>0</v>
      </c>
      <c r="T47" s="170">
        <f t="shared" ref="T47:W47" si="12">INDEX($Q$22:$X$26,MATCH(T$30,$P$4:$P$8,0),MATCH($R47,$Q$2:$X$2,0))</f>
        <v>100</v>
      </c>
      <c r="U47" s="170">
        <f t="shared" si="12"/>
        <v>100</v>
      </c>
      <c r="V47" s="170">
        <f t="shared" si="12"/>
        <v>0</v>
      </c>
      <c r="W47" s="170">
        <f t="shared" si="12"/>
        <v>2E-3</v>
      </c>
      <c r="X47" s="170" t="str">
        <f>_xlfn.CONCAT($T$29,"=",T47,",",$U$29,"=",U47,",",$W$29,"=",W47*10000)</f>
        <v>2=100,3=100,14=20</v>
      </c>
      <c r="AB47" s="172">
        <f t="shared" si="7"/>
        <v>216</v>
      </c>
      <c r="AC47" s="163">
        <v>225</v>
      </c>
      <c r="AD47" s="165">
        <v>0.03</v>
      </c>
      <c r="AE47" s="163">
        <v>7200</v>
      </c>
      <c r="AF47" s="163">
        <v>0</v>
      </c>
      <c r="AG47" s="163">
        <v>240</v>
      </c>
      <c r="AH47" s="163">
        <v>0</v>
      </c>
      <c r="AI47" s="166">
        <v>0.01</v>
      </c>
      <c r="AJ47" t="str">
        <f>_xlfn.CONCAT($AE$1,"=",AE47,",",$AG$1,"=",AG47,",",$AI$1,"=",AI47*10000)</f>
        <v>1=7200,3=240,101=100</v>
      </c>
    </row>
    <row r="48" spans="1:36" ht="16.5">
      <c r="A48" s="82">
        <v>5</v>
      </c>
      <c r="B48">
        <f t="shared" si="2"/>
        <v>506</v>
      </c>
      <c r="C48" s="82">
        <v>6</v>
      </c>
      <c r="D48" s="85">
        <f t="shared" si="10"/>
        <v>0</v>
      </c>
      <c r="E48" s="85">
        <f t="shared" si="10"/>
        <v>0</v>
      </c>
      <c r="F48" s="85">
        <f t="shared" si="10"/>
        <v>60</v>
      </c>
      <c r="G48" s="85">
        <f t="shared" si="10"/>
        <v>60</v>
      </c>
      <c r="H48" s="85">
        <f t="shared" si="11"/>
        <v>33</v>
      </c>
      <c r="I48" s="85" t="str">
        <f>_xlfn.CONCAT($F$21,"=",F48,",",$G$21,"=",G48,",",$H$21,"=",H48)</f>
        <v>3=60,5=60,14=33</v>
      </c>
      <c r="N48" s="167"/>
      <c r="O48" s="167"/>
      <c r="P48" s="167">
        <f t="shared" si="4"/>
        <v>310</v>
      </c>
      <c r="Q48" s="170">
        <v>3</v>
      </c>
      <c r="R48" s="170">
        <v>10</v>
      </c>
      <c r="S48" s="170">
        <f t="shared" ref="S48:W54" si="13">INDEX($Q$22:$X$26,MATCH(S$30,$P$4:$P$8,0),MATCH($R48,$Q$2:$X$2,0))</f>
        <v>0</v>
      </c>
      <c r="T48" s="170">
        <f t="shared" si="13"/>
        <v>100</v>
      </c>
      <c r="U48" s="170">
        <f t="shared" si="13"/>
        <v>0</v>
      </c>
      <c r="V48" s="170">
        <f t="shared" si="13"/>
        <v>100</v>
      </c>
      <c r="W48" s="170">
        <f t="shared" si="13"/>
        <v>2E-3</v>
      </c>
      <c r="X48" s="170" t="str">
        <f>_xlfn.CONCAT($T$29,"=",T48,",",$V$29,"=",V48,",",$W$29,"=",W48*10000)</f>
        <v>2=100,5=100,14=20</v>
      </c>
      <c r="AB48" s="172">
        <f t="shared" si="7"/>
        <v>216</v>
      </c>
      <c r="AC48" s="163">
        <v>230</v>
      </c>
      <c r="AD48" s="165">
        <v>0.03</v>
      </c>
      <c r="AE48" s="163">
        <v>0</v>
      </c>
      <c r="AF48" s="163">
        <v>360</v>
      </c>
      <c r="AG48" s="163">
        <v>0</v>
      </c>
      <c r="AH48" s="163">
        <v>240</v>
      </c>
      <c r="AI48" s="166">
        <v>0.01</v>
      </c>
      <c r="AJ48" t="str">
        <f>_xlfn.CONCAT($AF$1,"=",AF48,",",$AH$1,"=",AH48,",",$AI$1,"=",AI48*10000)</f>
        <v>2=360,5=240,101=100</v>
      </c>
    </row>
    <row r="49" spans="1:36" ht="16.5">
      <c r="A49" s="82">
        <v>5</v>
      </c>
      <c r="B49">
        <f t="shared" si="2"/>
        <v>507</v>
      </c>
      <c r="C49" s="82">
        <v>7</v>
      </c>
      <c r="D49" s="85">
        <f t="shared" si="10"/>
        <v>1800</v>
      </c>
      <c r="E49" s="85">
        <f t="shared" si="10"/>
        <v>60</v>
      </c>
      <c r="F49" s="85">
        <f t="shared" si="10"/>
        <v>0</v>
      </c>
      <c r="G49" s="85">
        <f t="shared" si="10"/>
        <v>0</v>
      </c>
      <c r="H49" s="85">
        <f t="shared" si="11"/>
        <v>0</v>
      </c>
      <c r="I49" s="85" t="str">
        <f>_xlfn.CONCAT($D$21,"=",D49,",",$E$21,"=",E49)</f>
        <v>1=1800,2=60</v>
      </c>
      <c r="N49" s="167"/>
      <c r="O49" s="167"/>
      <c r="P49" s="167">
        <f t="shared" si="4"/>
        <v>315</v>
      </c>
      <c r="Q49" s="170">
        <v>3</v>
      </c>
      <c r="R49" s="170">
        <v>15</v>
      </c>
      <c r="S49" s="170">
        <f t="shared" si="13"/>
        <v>0</v>
      </c>
      <c r="T49" s="170">
        <f t="shared" si="13"/>
        <v>160</v>
      </c>
      <c r="U49" s="170">
        <f t="shared" si="13"/>
        <v>160</v>
      </c>
      <c r="V49" s="170">
        <f t="shared" si="13"/>
        <v>0</v>
      </c>
      <c r="W49" s="170">
        <f t="shared" si="13"/>
        <v>2E-3</v>
      </c>
      <c r="X49" s="170" t="str">
        <f t="shared" ref="X49:X53" si="14">_xlfn.CONCAT($T$29,"=",T49,",",$U$29,"=",U49,",",$W$29,"=",W49*10000)</f>
        <v>2=160,3=160,14=20</v>
      </c>
      <c r="AB49" s="172">
        <f t="shared" si="7"/>
        <v>216</v>
      </c>
      <c r="AC49" s="163">
        <v>235</v>
      </c>
      <c r="AD49" s="165">
        <v>0.03</v>
      </c>
      <c r="AE49" s="163">
        <v>7200</v>
      </c>
      <c r="AF49" s="163">
        <v>0</v>
      </c>
      <c r="AG49" s="163">
        <v>240</v>
      </c>
      <c r="AH49" s="163">
        <v>0</v>
      </c>
      <c r="AI49" s="166">
        <v>0.01</v>
      </c>
      <c r="AJ49" t="str">
        <f>_xlfn.CONCAT($AE$1,"=",AE49,",",$AG$1,"=",AG49,",",$AI$1,"=",AI49*10000)</f>
        <v>1=7200,3=240,101=100</v>
      </c>
    </row>
    <row r="50" spans="1:36" ht="16.5">
      <c r="A50" s="82">
        <v>5</v>
      </c>
      <c r="B50">
        <f t="shared" si="2"/>
        <v>508</v>
      </c>
      <c r="C50" s="82">
        <v>8</v>
      </c>
      <c r="D50" s="85">
        <f t="shared" si="10"/>
        <v>0</v>
      </c>
      <c r="E50" s="85">
        <f t="shared" si="10"/>
        <v>0</v>
      </c>
      <c r="F50" s="85">
        <f t="shared" si="10"/>
        <v>80</v>
      </c>
      <c r="G50" s="85">
        <f t="shared" si="10"/>
        <v>80</v>
      </c>
      <c r="H50" s="85">
        <f t="shared" si="11"/>
        <v>33</v>
      </c>
      <c r="I50" s="85" t="str">
        <f>_xlfn.CONCAT($F$21,"=",F50,",",$G$21,"=",G50,",",$H$21,"=",H50)</f>
        <v>3=80,5=80,14=33</v>
      </c>
      <c r="N50" s="167"/>
      <c r="O50" s="167"/>
      <c r="P50" s="167">
        <f t="shared" si="4"/>
        <v>320</v>
      </c>
      <c r="Q50" s="170">
        <v>3</v>
      </c>
      <c r="R50" s="170">
        <v>20</v>
      </c>
      <c r="S50" s="170">
        <f t="shared" si="13"/>
        <v>0</v>
      </c>
      <c r="T50" s="170">
        <f t="shared" si="13"/>
        <v>160</v>
      </c>
      <c r="U50" s="170">
        <f t="shared" si="13"/>
        <v>0</v>
      </c>
      <c r="V50" s="170">
        <f t="shared" si="13"/>
        <v>160</v>
      </c>
      <c r="W50" s="170">
        <f t="shared" si="13"/>
        <v>2E-3</v>
      </c>
      <c r="X50" s="170" t="str">
        <f>_xlfn.CONCAT($T$29,"=",T50,",",$V$29,"=",V50,",",$W$29,"=",W50*10000)</f>
        <v>2=160,5=160,14=20</v>
      </c>
      <c r="AB50" s="172">
        <f t="shared" si="7"/>
        <v>216</v>
      </c>
      <c r="AC50" s="163">
        <v>240</v>
      </c>
      <c r="AD50" s="165">
        <v>0.03</v>
      </c>
      <c r="AE50" s="163">
        <v>0</v>
      </c>
      <c r="AF50" s="163">
        <v>360</v>
      </c>
      <c r="AG50" s="163">
        <v>0</v>
      </c>
      <c r="AH50" s="163">
        <v>240</v>
      </c>
      <c r="AI50" s="166">
        <v>0.01</v>
      </c>
      <c r="AJ50" t="str">
        <f>_xlfn.CONCAT($AF$1,"=",AF50,",",$AH$1,"=",AH50,",",$AI$1,"=",AI50*10000)</f>
        <v>2=360,5=240,101=100</v>
      </c>
    </row>
    <row r="51" spans="1:36" ht="16.5">
      <c r="A51" s="82">
        <v>5</v>
      </c>
      <c r="B51">
        <f t="shared" si="2"/>
        <v>509</v>
      </c>
      <c r="C51" s="82">
        <v>9</v>
      </c>
      <c r="D51" s="85">
        <f t="shared" si="10"/>
        <v>2250</v>
      </c>
      <c r="E51" s="85">
        <f t="shared" si="10"/>
        <v>75</v>
      </c>
      <c r="F51" s="85">
        <f t="shared" si="10"/>
        <v>0</v>
      </c>
      <c r="G51" s="85">
        <f t="shared" si="10"/>
        <v>0</v>
      </c>
      <c r="H51" s="85">
        <f t="shared" si="11"/>
        <v>0</v>
      </c>
      <c r="I51" s="85" t="str">
        <f>_xlfn.CONCAT($D$21,"=",D51,",",$E$21,"=",E51)</f>
        <v>1=2250,2=75</v>
      </c>
      <c r="N51" s="167"/>
      <c r="O51" s="167"/>
      <c r="P51" s="167">
        <f t="shared" si="4"/>
        <v>325</v>
      </c>
      <c r="Q51" s="170">
        <v>3</v>
      </c>
      <c r="R51" s="170">
        <v>25</v>
      </c>
      <c r="S51" s="170">
        <f t="shared" si="13"/>
        <v>0</v>
      </c>
      <c r="T51" s="170">
        <f t="shared" si="13"/>
        <v>200</v>
      </c>
      <c r="U51" s="170">
        <f t="shared" si="13"/>
        <v>200</v>
      </c>
      <c r="V51" s="170">
        <f t="shared" si="13"/>
        <v>0</v>
      </c>
      <c r="W51" s="170">
        <f t="shared" si="13"/>
        <v>2E-3</v>
      </c>
      <c r="X51" s="170" t="str">
        <f t="shared" si="14"/>
        <v>2=200,3=200,14=20</v>
      </c>
      <c r="AB51" s="172">
        <f t="shared" si="7"/>
        <v>216</v>
      </c>
      <c r="AC51" s="163">
        <v>245</v>
      </c>
      <c r="AD51" s="165">
        <v>0.03</v>
      </c>
      <c r="AE51" s="163">
        <v>7200</v>
      </c>
      <c r="AF51" s="163">
        <v>0</v>
      </c>
      <c r="AG51" s="163">
        <v>240</v>
      </c>
      <c r="AH51" s="163">
        <v>0</v>
      </c>
      <c r="AI51" s="166">
        <v>0.01</v>
      </c>
      <c r="AJ51" t="str">
        <f>_xlfn.CONCAT($AE$1,"=",AE51,",",$AG$1,"=",AG51,",",$AI$1,"=",AI51*10000)</f>
        <v>1=7200,3=240,101=100</v>
      </c>
    </row>
    <row r="52" spans="1:36" ht="16.5">
      <c r="A52" s="82">
        <v>5</v>
      </c>
      <c r="B52">
        <f t="shared" si="2"/>
        <v>510</v>
      </c>
      <c r="C52" s="82">
        <v>10</v>
      </c>
      <c r="D52" s="85">
        <f t="shared" si="10"/>
        <v>0</v>
      </c>
      <c r="E52" s="85">
        <f t="shared" si="10"/>
        <v>0</v>
      </c>
      <c r="F52" s="85">
        <f t="shared" si="10"/>
        <v>100</v>
      </c>
      <c r="G52" s="85">
        <f t="shared" si="10"/>
        <v>100</v>
      </c>
      <c r="H52" s="85">
        <f t="shared" si="11"/>
        <v>33</v>
      </c>
      <c r="I52" s="85" t="str">
        <f>_xlfn.CONCAT($F$21,"=",F52,",",$G$21,"=",G52,",",$H$21,"=",H52)</f>
        <v>3=100,5=100,14=33</v>
      </c>
      <c r="N52" s="167"/>
      <c r="O52" s="167"/>
      <c r="P52" s="167">
        <f t="shared" si="4"/>
        <v>330</v>
      </c>
      <c r="Q52" s="170">
        <v>3</v>
      </c>
      <c r="R52" s="170">
        <v>30</v>
      </c>
      <c r="S52" s="170">
        <f t="shared" si="13"/>
        <v>0</v>
      </c>
      <c r="T52" s="170">
        <f t="shared" si="13"/>
        <v>200</v>
      </c>
      <c r="U52" s="170">
        <f t="shared" si="13"/>
        <v>0</v>
      </c>
      <c r="V52" s="170">
        <f t="shared" si="13"/>
        <v>200</v>
      </c>
      <c r="W52" s="170">
        <f t="shared" si="13"/>
        <v>2E-3</v>
      </c>
      <c r="X52" s="170" t="str">
        <f>_xlfn.CONCAT($T$29,"=",T52,",",$V$29,"=",V52,",",$W$29,"=",W52*10000)</f>
        <v>2=200,5=200,14=20</v>
      </c>
      <c r="AB52" s="172">
        <f t="shared" si="7"/>
        <v>216</v>
      </c>
      <c r="AC52" s="163">
        <v>250</v>
      </c>
      <c r="AD52" s="165">
        <v>0.03</v>
      </c>
      <c r="AE52" s="163">
        <v>0</v>
      </c>
      <c r="AF52" s="163">
        <v>360</v>
      </c>
      <c r="AG52" s="163">
        <v>0</v>
      </c>
      <c r="AH52" s="163">
        <v>240</v>
      </c>
      <c r="AI52" s="166">
        <v>0.01</v>
      </c>
      <c r="AJ52" t="str">
        <f>_xlfn.CONCAT($AF$1,"=",AF52,",",$AH$1,"=",AH52,",",$AI$1,"=",AI52*10000)</f>
        <v>2=360,5=240,101=100</v>
      </c>
    </row>
    <row r="53" spans="1:36" ht="16.5">
      <c r="N53" s="167"/>
      <c r="O53" s="167"/>
      <c r="P53" s="167">
        <f t="shared" si="4"/>
        <v>335</v>
      </c>
      <c r="Q53" s="170">
        <v>3</v>
      </c>
      <c r="R53" s="170">
        <v>35</v>
      </c>
      <c r="S53" s="170">
        <f t="shared" si="13"/>
        <v>0</v>
      </c>
      <c r="T53" s="170">
        <f t="shared" si="13"/>
        <v>250</v>
      </c>
      <c r="U53" s="170">
        <f t="shared" si="13"/>
        <v>250</v>
      </c>
      <c r="V53" s="170">
        <f t="shared" si="13"/>
        <v>0</v>
      </c>
      <c r="W53" s="170">
        <f t="shared" si="13"/>
        <v>2E-3</v>
      </c>
      <c r="X53" s="170" t="str">
        <f t="shared" si="14"/>
        <v>2=250,3=250,14=20</v>
      </c>
    </row>
    <row r="54" spans="1:36" ht="16.5">
      <c r="N54" s="167"/>
      <c r="O54" s="167"/>
      <c r="P54" s="167">
        <f t="shared" si="4"/>
        <v>340</v>
      </c>
      <c r="Q54" s="170">
        <v>3</v>
      </c>
      <c r="R54" s="170">
        <v>40</v>
      </c>
      <c r="S54" s="170">
        <f t="shared" si="13"/>
        <v>0</v>
      </c>
      <c r="T54" s="170">
        <f t="shared" si="13"/>
        <v>250</v>
      </c>
      <c r="U54" s="170">
        <f t="shared" si="13"/>
        <v>0</v>
      </c>
      <c r="V54" s="170">
        <f t="shared" si="13"/>
        <v>250</v>
      </c>
      <c r="W54" s="170">
        <f t="shared" si="13"/>
        <v>2E-3</v>
      </c>
      <c r="X54" s="170" t="str">
        <f>_xlfn.CONCAT($T$29,"=",T54,",",$V$29,"=",V54,",",$W$29,"=",W54*10000)</f>
        <v>2=250,5=250,14=20</v>
      </c>
    </row>
    <row r="63" spans="1:36">
      <c r="A63">
        <v>4101</v>
      </c>
      <c r="B63" s="27" t="s">
        <v>998</v>
      </c>
      <c r="H63" s="27" t="s">
        <v>1962</v>
      </c>
    </row>
    <row r="64" spans="1:36">
      <c r="A64">
        <v>4102</v>
      </c>
      <c r="B64" s="27" t="s">
        <v>998</v>
      </c>
      <c r="G64">
        <v>1</v>
      </c>
      <c r="H64" s="27" t="s">
        <v>2535</v>
      </c>
    </row>
    <row r="65" spans="1:8">
      <c r="A65">
        <v>4103</v>
      </c>
      <c r="B65" s="27" t="s">
        <v>998</v>
      </c>
      <c r="G65">
        <v>2</v>
      </c>
      <c r="H65" s="27" t="s">
        <v>2537</v>
      </c>
    </row>
    <row r="66" spans="1:8">
      <c r="A66">
        <v>4104</v>
      </c>
      <c r="B66" s="27" t="s">
        <v>998</v>
      </c>
      <c r="G66">
        <v>3</v>
      </c>
      <c r="H66" s="27" t="s">
        <v>2539</v>
      </c>
    </row>
    <row r="67" spans="1:8">
      <c r="A67">
        <v>4105</v>
      </c>
      <c r="B67" s="27" t="s">
        <v>998</v>
      </c>
      <c r="G67">
        <v>4</v>
      </c>
      <c r="H67" s="27" t="s">
        <v>2541</v>
      </c>
    </row>
    <row r="68" spans="1:8">
      <c r="A68">
        <v>4106</v>
      </c>
      <c r="B68" s="27" t="s">
        <v>998</v>
      </c>
    </row>
    <row r="69" spans="1:8">
      <c r="A69">
        <v>4201</v>
      </c>
      <c r="B69" s="27" t="s">
        <v>998</v>
      </c>
      <c r="H69" s="27" t="s">
        <v>2543</v>
      </c>
    </row>
    <row r="70" spans="1:8">
      <c r="A70">
        <v>4202</v>
      </c>
      <c r="B70" s="27" t="s">
        <v>998</v>
      </c>
      <c r="H70" s="27" t="s">
        <v>2545</v>
      </c>
    </row>
    <row r="71" spans="1:8">
      <c r="A71">
        <v>4203</v>
      </c>
      <c r="B71" s="27" t="s">
        <v>998</v>
      </c>
      <c r="H71" s="27" t="s">
        <v>2546</v>
      </c>
    </row>
    <row r="72" spans="1:8">
      <c r="A72">
        <v>4204</v>
      </c>
      <c r="B72" s="27" t="s">
        <v>998</v>
      </c>
      <c r="H72" s="27" t="s">
        <v>2548</v>
      </c>
    </row>
    <row r="73" spans="1:8">
      <c r="A73">
        <v>4301</v>
      </c>
      <c r="B73" s="27" t="s">
        <v>998</v>
      </c>
    </row>
    <row r="74" spans="1:8">
      <c r="A74">
        <v>4302</v>
      </c>
      <c r="B74" s="27" t="s">
        <v>998</v>
      </c>
    </row>
    <row r="75" spans="1:8">
      <c r="A75">
        <v>4303</v>
      </c>
      <c r="B75" s="27" t="s">
        <v>998</v>
      </c>
    </row>
    <row r="76" spans="1:8">
      <c r="A76">
        <v>4304</v>
      </c>
      <c r="B76" s="27" t="s">
        <v>998</v>
      </c>
    </row>
    <row r="77" spans="1:8">
      <c r="A77">
        <v>5101</v>
      </c>
      <c r="B77" s="27" t="s">
        <v>993</v>
      </c>
    </row>
    <row r="78" spans="1:8">
      <c r="A78">
        <v>5102</v>
      </c>
      <c r="B78" s="27" t="s">
        <v>993</v>
      </c>
    </row>
    <row r="79" spans="1:8">
      <c r="A79">
        <v>5103</v>
      </c>
      <c r="B79" s="27" t="s">
        <v>993</v>
      </c>
    </row>
    <row r="80" spans="1:8">
      <c r="A80">
        <v>5104</v>
      </c>
      <c r="B80" s="27" t="s">
        <v>993</v>
      </c>
    </row>
    <row r="81" spans="1:2">
      <c r="A81">
        <v>5105</v>
      </c>
      <c r="B81" s="27" t="s">
        <v>993</v>
      </c>
    </row>
    <row r="82" spans="1:2">
      <c r="A82">
        <v>5201</v>
      </c>
      <c r="B82" s="27" t="s">
        <v>993</v>
      </c>
    </row>
    <row r="83" spans="1:2">
      <c r="A83">
        <v>5202</v>
      </c>
      <c r="B83" s="27" t="s">
        <v>993</v>
      </c>
    </row>
    <row r="84" spans="1:2">
      <c r="A84">
        <v>5203</v>
      </c>
      <c r="B84" s="27" t="s">
        <v>993</v>
      </c>
    </row>
    <row r="85" spans="1:2">
      <c r="A85">
        <v>5301</v>
      </c>
      <c r="B85" s="27" t="s">
        <v>993</v>
      </c>
    </row>
    <row r="86" spans="1:2">
      <c r="A86">
        <v>5302</v>
      </c>
      <c r="B86" s="27" t="s">
        <v>993</v>
      </c>
    </row>
    <row r="87" spans="1:2">
      <c r="A87">
        <v>5303</v>
      </c>
      <c r="B87" s="27" t="s">
        <v>993</v>
      </c>
    </row>
    <row r="88" spans="1:2">
      <c r="A88">
        <v>6101</v>
      </c>
      <c r="B88" s="27" t="s">
        <v>993</v>
      </c>
    </row>
    <row r="89" spans="1:2">
      <c r="A89">
        <v>6102</v>
      </c>
      <c r="B89" s="27" t="s">
        <v>993</v>
      </c>
    </row>
    <row r="90" spans="1:2">
      <c r="A90">
        <v>6201</v>
      </c>
      <c r="B90" s="27" t="s">
        <v>993</v>
      </c>
    </row>
    <row r="91" spans="1:2">
      <c r="A91">
        <v>6301</v>
      </c>
      <c r="B91" s="27" t="s">
        <v>993</v>
      </c>
    </row>
    <row r="92" spans="1:2">
      <c r="A92">
        <v>6103</v>
      </c>
      <c r="B92" s="27" t="s">
        <v>993</v>
      </c>
    </row>
  </sheetData>
  <mergeCells count="1">
    <mergeCell ref="B3:B5"/>
  </mergeCells>
  <phoneticPr fontId="1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002060"/>
  </sheetPr>
  <dimension ref="A1:F127"/>
  <sheetViews>
    <sheetView workbookViewId="0">
      <pane xSplit="3" ySplit="7" topLeftCell="D77" activePane="bottomRight" state="frozenSplit"/>
      <selection pane="topRight"/>
      <selection pane="bottomLeft"/>
      <selection pane="bottomRight" activeCell="D114" sqref="D114"/>
    </sheetView>
  </sheetViews>
  <sheetFormatPr defaultColWidth="9" defaultRowHeight="13.5"/>
  <cols>
    <col min="2" max="2" width="19" customWidth="1"/>
    <col min="3" max="3" width="14" customWidth="1"/>
    <col min="4" max="4" width="30.75" customWidth="1"/>
    <col min="5" max="5" width="13.5" customWidth="1"/>
    <col min="6" max="6" width="104.75" customWidth="1"/>
  </cols>
  <sheetData>
    <row r="1" spans="1:6">
      <c r="A1" s="3" t="s">
        <v>827</v>
      </c>
      <c r="B1" s="3" t="s">
        <v>828</v>
      </c>
      <c r="C1" s="3" t="s">
        <v>829</v>
      </c>
      <c r="D1" s="67" t="s">
        <v>800</v>
      </c>
      <c r="E1" s="67" t="s">
        <v>65</v>
      </c>
      <c r="F1" s="67" t="s">
        <v>857</v>
      </c>
    </row>
    <row r="2" spans="1:6" ht="27">
      <c r="A2" s="3" t="s">
        <v>819</v>
      </c>
      <c r="B2" s="3" t="s">
        <v>95</v>
      </c>
      <c r="C2" s="3" t="s">
        <v>830</v>
      </c>
      <c r="D2" s="67" t="s">
        <v>801</v>
      </c>
      <c r="E2" s="67" t="s">
        <v>68</v>
      </c>
      <c r="F2" s="67" t="s">
        <v>69</v>
      </c>
    </row>
    <row r="3" spans="1:6">
      <c r="A3" s="3" t="s">
        <v>46</v>
      </c>
      <c r="B3" s="3" t="s">
        <v>46</v>
      </c>
      <c r="C3" s="3" t="s">
        <v>46</v>
      </c>
      <c r="D3" s="67" t="s">
        <v>802</v>
      </c>
      <c r="E3" s="67" t="s">
        <v>47</v>
      </c>
      <c r="F3" s="67" t="s">
        <v>47</v>
      </c>
    </row>
    <row r="4" spans="1:6">
      <c r="A4" s="3" t="s">
        <v>48</v>
      </c>
      <c r="B4" s="3" t="s">
        <v>48</v>
      </c>
      <c r="C4" s="3" t="s">
        <v>48</v>
      </c>
      <c r="D4" s="67" t="s">
        <v>48</v>
      </c>
      <c r="E4" s="67" t="s">
        <v>49</v>
      </c>
      <c r="F4" s="67" t="s">
        <v>49</v>
      </c>
    </row>
    <row r="5" spans="1:6" ht="27">
      <c r="A5" s="3" t="s">
        <v>794</v>
      </c>
      <c r="B5" s="3" t="s">
        <v>51</v>
      </c>
      <c r="C5" s="3" t="s">
        <v>794</v>
      </c>
      <c r="D5" s="67" t="s">
        <v>803</v>
      </c>
      <c r="E5" s="67" t="s">
        <v>794</v>
      </c>
      <c r="F5" s="67" t="s">
        <v>794</v>
      </c>
    </row>
    <row r="6" spans="1:6" ht="27">
      <c r="A6" s="3" t="s">
        <v>795</v>
      </c>
      <c r="B6" s="3" t="s">
        <v>51</v>
      </c>
      <c r="C6" s="3" t="s">
        <v>795</v>
      </c>
      <c r="D6" s="67" t="s">
        <v>831</v>
      </c>
      <c r="E6" s="67" t="s">
        <v>795</v>
      </c>
      <c r="F6" s="67" t="s">
        <v>795</v>
      </c>
    </row>
    <row r="7" spans="1:6">
      <c r="A7" s="3" t="s">
        <v>796</v>
      </c>
      <c r="B7" s="3" t="s">
        <v>796</v>
      </c>
      <c r="C7" s="3" t="s">
        <v>796</v>
      </c>
      <c r="D7" s="67" t="s">
        <v>796</v>
      </c>
      <c r="E7" s="67" t="s">
        <v>796</v>
      </c>
      <c r="F7" s="67" t="s">
        <v>796</v>
      </c>
    </row>
    <row r="8" spans="1:6">
      <c r="A8" s="219">
        <v>1</v>
      </c>
      <c r="B8" s="220">
        <v>4101</v>
      </c>
      <c r="C8" s="220">
        <v>1</v>
      </c>
      <c r="D8" s="220" t="s">
        <v>2542</v>
      </c>
      <c r="E8" s="220" t="s">
        <v>866</v>
      </c>
      <c r="F8" s="220" t="s">
        <v>867</v>
      </c>
    </row>
    <row r="9" spans="1:6">
      <c r="A9" s="219">
        <v>2</v>
      </c>
      <c r="B9" s="220">
        <v>4101</v>
      </c>
      <c r="C9" s="220">
        <v>2</v>
      </c>
      <c r="D9" s="220" t="s">
        <v>2544</v>
      </c>
      <c r="E9" s="220" t="s">
        <v>1528</v>
      </c>
      <c r="F9" s="220" t="s">
        <v>867</v>
      </c>
    </row>
    <row r="10" spans="1:6">
      <c r="A10" s="219">
        <v>3</v>
      </c>
      <c r="B10" s="220">
        <v>4101</v>
      </c>
      <c r="C10" s="220">
        <v>3</v>
      </c>
      <c r="D10" s="220" t="s">
        <v>1985</v>
      </c>
      <c r="E10" s="220" t="s">
        <v>1529</v>
      </c>
      <c r="F10" s="220" t="s">
        <v>867</v>
      </c>
    </row>
    <row r="11" spans="1:6">
      <c r="A11" s="219">
        <v>4</v>
      </c>
      <c r="B11" s="220">
        <v>4101</v>
      </c>
      <c r="C11" s="220">
        <v>4</v>
      </c>
      <c r="D11" s="220" t="s">
        <v>2547</v>
      </c>
      <c r="E11" s="220" t="s">
        <v>1530</v>
      </c>
      <c r="F11" s="220" t="s">
        <v>867</v>
      </c>
    </row>
    <row r="12" spans="1:6">
      <c r="A12" s="219">
        <v>5</v>
      </c>
      <c r="B12" s="220">
        <v>4102</v>
      </c>
      <c r="C12" s="220">
        <v>1</v>
      </c>
      <c r="D12" s="220" t="s">
        <v>2542</v>
      </c>
      <c r="E12" s="220" t="s">
        <v>2420</v>
      </c>
      <c r="F12" s="220" t="s">
        <v>871</v>
      </c>
    </row>
    <row r="13" spans="1:6">
      <c r="A13" s="219">
        <v>6</v>
      </c>
      <c r="B13" s="220">
        <v>4102</v>
      </c>
      <c r="C13" s="220">
        <v>2</v>
      </c>
      <c r="D13" s="220" t="s">
        <v>2544</v>
      </c>
      <c r="E13" s="220" t="s">
        <v>2421</v>
      </c>
      <c r="F13" s="220" t="s">
        <v>871</v>
      </c>
    </row>
    <row r="14" spans="1:6">
      <c r="A14" s="219">
        <v>7</v>
      </c>
      <c r="B14" s="220">
        <v>4102</v>
      </c>
      <c r="C14" s="220">
        <v>3</v>
      </c>
      <c r="D14" s="220" t="s">
        <v>1985</v>
      </c>
      <c r="E14" s="220" t="s">
        <v>1531</v>
      </c>
      <c r="F14" s="220" t="s">
        <v>871</v>
      </c>
    </row>
    <row r="15" spans="1:6">
      <c r="A15" s="219">
        <v>8</v>
      </c>
      <c r="B15" s="220">
        <v>4102</v>
      </c>
      <c r="C15" s="220">
        <v>4</v>
      </c>
      <c r="D15" s="220" t="s">
        <v>2547</v>
      </c>
      <c r="E15" s="220" t="s">
        <v>1532</v>
      </c>
      <c r="F15" s="220" t="s">
        <v>871</v>
      </c>
    </row>
    <row r="16" spans="1:6">
      <c r="A16" s="219">
        <v>9</v>
      </c>
      <c r="B16" s="220">
        <v>4103</v>
      </c>
      <c r="C16" s="220">
        <v>1</v>
      </c>
      <c r="D16" s="220" t="s">
        <v>2542</v>
      </c>
      <c r="E16" s="220" t="s">
        <v>2422</v>
      </c>
      <c r="F16" s="220" t="s">
        <v>875</v>
      </c>
    </row>
    <row r="17" spans="1:6">
      <c r="A17" s="219">
        <v>10</v>
      </c>
      <c r="B17" s="220">
        <v>4103</v>
      </c>
      <c r="C17" s="220">
        <v>2</v>
      </c>
      <c r="D17" s="220" t="s">
        <v>2544</v>
      </c>
      <c r="E17" s="220" t="s">
        <v>2423</v>
      </c>
      <c r="F17" s="220" t="s">
        <v>875</v>
      </c>
    </row>
    <row r="18" spans="1:6">
      <c r="A18" s="219">
        <v>11</v>
      </c>
      <c r="B18" s="220">
        <v>4103</v>
      </c>
      <c r="C18" s="220">
        <v>3</v>
      </c>
      <c r="D18" s="220" t="s">
        <v>1985</v>
      </c>
      <c r="E18" s="220" t="s">
        <v>2424</v>
      </c>
      <c r="F18" s="220" t="s">
        <v>875</v>
      </c>
    </row>
    <row r="19" spans="1:6">
      <c r="A19" s="219">
        <v>12</v>
      </c>
      <c r="B19" s="220">
        <v>4103</v>
      </c>
      <c r="C19" s="220">
        <v>4</v>
      </c>
      <c r="D19" s="220" t="s">
        <v>2547</v>
      </c>
      <c r="E19" s="220" t="s">
        <v>2425</v>
      </c>
      <c r="F19" s="220" t="s">
        <v>875</v>
      </c>
    </row>
    <row r="20" spans="1:6">
      <c r="A20" s="219">
        <v>13</v>
      </c>
      <c r="B20" s="220">
        <v>4104</v>
      </c>
      <c r="C20" s="220">
        <v>1</v>
      </c>
      <c r="D20" s="220" t="s">
        <v>2542</v>
      </c>
      <c r="E20" s="220" t="s">
        <v>2426</v>
      </c>
      <c r="F20" s="220" t="s">
        <v>879</v>
      </c>
    </row>
    <row r="21" spans="1:6">
      <c r="A21" s="219">
        <v>14</v>
      </c>
      <c r="B21" s="220">
        <v>4104</v>
      </c>
      <c r="C21" s="220">
        <v>2</v>
      </c>
      <c r="D21" s="220" t="s">
        <v>2544</v>
      </c>
      <c r="E21" s="220" t="s">
        <v>2427</v>
      </c>
      <c r="F21" s="220" t="s">
        <v>879</v>
      </c>
    </row>
    <row r="22" spans="1:6">
      <c r="A22" s="219">
        <v>15</v>
      </c>
      <c r="B22" s="220">
        <v>4104</v>
      </c>
      <c r="C22" s="220">
        <v>3</v>
      </c>
      <c r="D22" s="220" t="s">
        <v>1985</v>
      </c>
      <c r="E22" s="220" t="s">
        <v>2428</v>
      </c>
      <c r="F22" s="220" t="s">
        <v>879</v>
      </c>
    </row>
    <row r="23" spans="1:6">
      <c r="A23" s="219">
        <v>16</v>
      </c>
      <c r="B23" s="220">
        <v>4104</v>
      </c>
      <c r="C23" s="220">
        <v>4</v>
      </c>
      <c r="D23" s="220" t="s">
        <v>2547</v>
      </c>
      <c r="E23" s="220" t="s">
        <v>2429</v>
      </c>
      <c r="F23" s="220" t="s">
        <v>879</v>
      </c>
    </row>
    <row r="24" spans="1:6">
      <c r="A24" s="219">
        <v>17</v>
      </c>
      <c r="B24" s="220">
        <v>4105</v>
      </c>
      <c r="C24" s="220">
        <v>1</v>
      </c>
      <c r="D24" s="220" t="s">
        <v>2542</v>
      </c>
      <c r="E24" s="220" t="s">
        <v>2430</v>
      </c>
      <c r="F24" s="220" t="s">
        <v>883</v>
      </c>
    </row>
    <row r="25" spans="1:6">
      <c r="A25" s="219">
        <v>18</v>
      </c>
      <c r="B25" s="220">
        <v>4105</v>
      </c>
      <c r="C25" s="220">
        <v>2</v>
      </c>
      <c r="D25" s="220" t="s">
        <v>2544</v>
      </c>
      <c r="E25" s="220" t="s">
        <v>2431</v>
      </c>
      <c r="F25" s="220" t="s">
        <v>883</v>
      </c>
    </row>
    <row r="26" spans="1:6">
      <c r="A26" s="219">
        <v>19</v>
      </c>
      <c r="B26" s="220">
        <v>4105</v>
      </c>
      <c r="C26" s="220">
        <v>3</v>
      </c>
      <c r="D26" s="220" t="s">
        <v>1985</v>
      </c>
      <c r="E26" s="220" t="s">
        <v>2432</v>
      </c>
      <c r="F26" s="220" t="s">
        <v>883</v>
      </c>
    </row>
    <row r="27" spans="1:6">
      <c r="A27" s="219">
        <v>20</v>
      </c>
      <c r="B27" s="220">
        <v>4105</v>
      </c>
      <c r="C27" s="220">
        <v>4</v>
      </c>
      <c r="D27" s="220" t="s">
        <v>2547</v>
      </c>
      <c r="E27" s="220" t="s">
        <v>2433</v>
      </c>
      <c r="F27" s="220" t="s">
        <v>883</v>
      </c>
    </row>
    <row r="28" spans="1:6">
      <c r="A28" s="219">
        <v>21</v>
      </c>
      <c r="B28" s="220">
        <v>4106</v>
      </c>
      <c r="C28" s="220">
        <v>1</v>
      </c>
      <c r="D28" s="220" t="s">
        <v>2542</v>
      </c>
      <c r="E28" s="220" t="s">
        <v>2434</v>
      </c>
      <c r="F28" s="220" t="s">
        <v>887</v>
      </c>
    </row>
    <row r="29" spans="1:6">
      <c r="A29" s="219">
        <v>22</v>
      </c>
      <c r="B29" s="220">
        <v>4106</v>
      </c>
      <c r="C29" s="220">
        <v>2</v>
      </c>
      <c r="D29" s="220" t="s">
        <v>2544</v>
      </c>
      <c r="E29" s="220" t="s">
        <v>2435</v>
      </c>
      <c r="F29" s="220" t="s">
        <v>887</v>
      </c>
    </row>
    <row r="30" spans="1:6">
      <c r="A30" s="219">
        <v>23</v>
      </c>
      <c r="B30" s="220">
        <v>4106</v>
      </c>
      <c r="C30" s="220">
        <v>3</v>
      </c>
      <c r="D30" s="220" t="s">
        <v>1985</v>
      </c>
      <c r="E30" s="220" t="s">
        <v>2436</v>
      </c>
      <c r="F30" s="220" t="s">
        <v>887</v>
      </c>
    </row>
    <row r="31" spans="1:6">
      <c r="A31" s="219">
        <v>24</v>
      </c>
      <c r="B31" s="220">
        <v>4106</v>
      </c>
      <c r="C31" s="220">
        <v>4</v>
      </c>
      <c r="D31" s="220" t="s">
        <v>2547</v>
      </c>
      <c r="E31" s="220" t="s">
        <v>2437</v>
      </c>
      <c r="F31" s="220" t="s">
        <v>887</v>
      </c>
    </row>
    <row r="32" spans="1:6" ht="15" customHeight="1">
      <c r="A32" s="219">
        <v>25</v>
      </c>
      <c r="B32" s="220">
        <v>4201</v>
      </c>
      <c r="C32" s="220">
        <v>1</v>
      </c>
      <c r="D32" s="220" t="s">
        <v>2542</v>
      </c>
      <c r="E32" s="220" t="s">
        <v>2438</v>
      </c>
      <c r="F32" s="220" t="s">
        <v>891</v>
      </c>
    </row>
    <row r="33" spans="1:6">
      <c r="A33" s="219">
        <v>26</v>
      </c>
      <c r="B33" s="220">
        <v>4201</v>
      </c>
      <c r="C33" s="220">
        <v>2</v>
      </c>
      <c r="D33" s="220" t="s">
        <v>2544</v>
      </c>
      <c r="E33" s="220" t="s">
        <v>2439</v>
      </c>
      <c r="F33" s="220" t="s">
        <v>891</v>
      </c>
    </row>
    <row r="34" spans="1:6">
      <c r="A34" s="219">
        <v>27</v>
      </c>
      <c r="B34" s="220">
        <v>4201</v>
      </c>
      <c r="C34" s="220">
        <v>3</v>
      </c>
      <c r="D34" s="220" t="s">
        <v>1985</v>
      </c>
      <c r="E34" s="220" t="s">
        <v>2440</v>
      </c>
      <c r="F34" s="220" t="s">
        <v>891</v>
      </c>
    </row>
    <row r="35" spans="1:6">
      <c r="A35" s="219">
        <v>28</v>
      </c>
      <c r="B35" s="220">
        <v>4201</v>
      </c>
      <c r="C35" s="220">
        <v>4</v>
      </c>
      <c r="D35" s="220" t="s">
        <v>2547</v>
      </c>
      <c r="E35" s="220" t="s">
        <v>2441</v>
      </c>
      <c r="F35" s="220" t="s">
        <v>891</v>
      </c>
    </row>
    <row r="36" spans="1:6">
      <c r="A36" s="219">
        <v>29</v>
      </c>
      <c r="B36" s="220">
        <v>4202</v>
      </c>
      <c r="C36" s="220">
        <v>1</v>
      </c>
      <c r="D36" s="220" t="s">
        <v>2542</v>
      </c>
      <c r="E36" s="220" t="s">
        <v>2442</v>
      </c>
      <c r="F36" s="220" t="s">
        <v>895</v>
      </c>
    </row>
    <row r="37" spans="1:6">
      <c r="A37" s="219">
        <v>30</v>
      </c>
      <c r="B37" s="220">
        <v>4202</v>
      </c>
      <c r="C37" s="220">
        <v>2</v>
      </c>
      <c r="D37" s="220" t="s">
        <v>2544</v>
      </c>
      <c r="E37" s="220" t="s">
        <v>2443</v>
      </c>
      <c r="F37" s="220" t="s">
        <v>895</v>
      </c>
    </row>
    <row r="38" spans="1:6">
      <c r="A38" s="219">
        <v>31</v>
      </c>
      <c r="B38" s="220">
        <v>4202</v>
      </c>
      <c r="C38" s="220">
        <v>3</v>
      </c>
      <c r="D38" s="220" t="s">
        <v>1985</v>
      </c>
      <c r="E38" s="220" t="s">
        <v>2444</v>
      </c>
      <c r="F38" s="220" t="s">
        <v>895</v>
      </c>
    </row>
    <row r="39" spans="1:6">
      <c r="A39" s="219">
        <v>32</v>
      </c>
      <c r="B39" s="220">
        <v>4202</v>
      </c>
      <c r="C39" s="220">
        <v>4</v>
      </c>
      <c r="D39" s="220" t="s">
        <v>2547</v>
      </c>
      <c r="E39" s="220" t="s">
        <v>2445</v>
      </c>
      <c r="F39" s="220" t="s">
        <v>895</v>
      </c>
    </row>
    <row r="40" spans="1:6">
      <c r="A40" s="219">
        <v>33</v>
      </c>
      <c r="B40" s="220">
        <v>4203</v>
      </c>
      <c r="C40" s="220">
        <v>1</v>
      </c>
      <c r="D40" s="220" t="s">
        <v>2542</v>
      </c>
      <c r="E40" s="220" t="s">
        <v>2446</v>
      </c>
      <c r="F40" s="220" t="s">
        <v>899</v>
      </c>
    </row>
    <row r="41" spans="1:6">
      <c r="A41" s="219">
        <v>34</v>
      </c>
      <c r="B41" s="220">
        <v>4203</v>
      </c>
      <c r="C41" s="220">
        <v>2</v>
      </c>
      <c r="D41" s="220" t="s">
        <v>2544</v>
      </c>
      <c r="E41" s="220" t="s">
        <v>2447</v>
      </c>
      <c r="F41" s="220" t="s">
        <v>899</v>
      </c>
    </row>
    <row r="42" spans="1:6">
      <c r="A42" s="219">
        <v>35</v>
      </c>
      <c r="B42" s="220">
        <v>4203</v>
      </c>
      <c r="C42" s="220">
        <v>3</v>
      </c>
      <c r="D42" s="220" t="s">
        <v>1985</v>
      </c>
      <c r="E42" s="220" t="s">
        <v>2448</v>
      </c>
      <c r="F42" s="220" t="s">
        <v>899</v>
      </c>
    </row>
    <row r="43" spans="1:6">
      <c r="A43" s="219">
        <v>36</v>
      </c>
      <c r="B43" s="220">
        <v>4203</v>
      </c>
      <c r="C43" s="220">
        <v>4</v>
      </c>
      <c r="D43" s="220" t="s">
        <v>2547</v>
      </c>
      <c r="E43" s="220" t="s">
        <v>2449</v>
      </c>
      <c r="F43" s="220" t="s">
        <v>899</v>
      </c>
    </row>
    <row r="44" spans="1:6">
      <c r="A44" s="219">
        <v>37</v>
      </c>
      <c r="B44" s="220">
        <v>4204</v>
      </c>
      <c r="C44" s="220">
        <v>1</v>
      </c>
      <c r="D44" s="220" t="s">
        <v>2542</v>
      </c>
      <c r="E44" s="220" t="s">
        <v>2450</v>
      </c>
      <c r="F44" s="220" t="s">
        <v>903</v>
      </c>
    </row>
    <row r="45" spans="1:6">
      <c r="A45" s="219">
        <v>38</v>
      </c>
      <c r="B45" s="220">
        <v>4204</v>
      </c>
      <c r="C45" s="220">
        <v>2</v>
      </c>
      <c r="D45" s="220" t="s">
        <v>2544</v>
      </c>
      <c r="E45" s="220" t="s">
        <v>2451</v>
      </c>
      <c r="F45" s="220" t="s">
        <v>903</v>
      </c>
    </row>
    <row r="46" spans="1:6">
      <c r="A46" s="219">
        <v>39</v>
      </c>
      <c r="B46" s="220">
        <v>4204</v>
      </c>
      <c r="C46" s="220">
        <v>3</v>
      </c>
      <c r="D46" s="220" t="s">
        <v>1985</v>
      </c>
      <c r="E46" s="220" t="s">
        <v>2452</v>
      </c>
      <c r="F46" s="220" t="s">
        <v>903</v>
      </c>
    </row>
    <row r="47" spans="1:6">
      <c r="A47" s="219">
        <v>40</v>
      </c>
      <c r="B47" s="220">
        <v>4204</v>
      </c>
      <c r="C47" s="220">
        <v>4</v>
      </c>
      <c r="D47" s="220" t="s">
        <v>2547</v>
      </c>
      <c r="E47" s="220" t="s">
        <v>2453</v>
      </c>
      <c r="F47" s="220" t="s">
        <v>903</v>
      </c>
    </row>
    <row r="48" spans="1:6">
      <c r="A48" s="219">
        <v>41</v>
      </c>
      <c r="B48" s="220">
        <v>4301</v>
      </c>
      <c r="C48" s="220">
        <v>1</v>
      </c>
      <c r="D48" s="220" t="s">
        <v>2542</v>
      </c>
      <c r="E48" s="220" t="s">
        <v>2454</v>
      </c>
      <c r="F48" s="220" t="s">
        <v>907</v>
      </c>
    </row>
    <row r="49" spans="1:6">
      <c r="A49" s="219">
        <v>42</v>
      </c>
      <c r="B49" s="220">
        <v>4301</v>
      </c>
      <c r="C49" s="220">
        <v>2</v>
      </c>
      <c r="D49" s="220" t="s">
        <v>2544</v>
      </c>
      <c r="E49" s="220" t="s">
        <v>2455</v>
      </c>
      <c r="F49" s="220" t="s">
        <v>907</v>
      </c>
    </row>
    <row r="50" spans="1:6">
      <c r="A50" s="219">
        <v>43</v>
      </c>
      <c r="B50" s="220">
        <v>4301</v>
      </c>
      <c r="C50" s="220">
        <v>3</v>
      </c>
      <c r="D50" s="220" t="s">
        <v>1985</v>
      </c>
      <c r="E50" s="220" t="s">
        <v>2456</v>
      </c>
      <c r="F50" s="220" t="s">
        <v>907</v>
      </c>
    </row>
    <row r="51" spans="1:6">
      <c r="A51" s="219">
        <v>44</v>
      </c>
      <c r="B51" s="220">
        <v>4301</v>
      </c>
      <c r="C51" s="220">
        <v>4</v>
      </c>
      <c r="D51" s="220" t="s">
        <v>2547</v>
      </c>
      <c r="E51" s="220" t="s">
        <v>2457</v>
      </c>
      <c r="F51" s="220" t="s">
        <v>907</v>
      </c>
    </row>
    <row r="52" spans="1:6">
      <c r="A52" s="219">
        <v>45</v>
      </c>
      <c r="B52" s="220">
        <v>4302</v>
      </c>
      <c r="C52" s="220">
        <v>1</v>
      </c>
      <c r="D52" s="220" t="s">
        <v>2542</v>
      </c>
      <c r="E52" s="220" t="s">
        <v>2458</v>
      </c>
      <c r="F52" s="220" t="s">
        <v>911</v>
      </c>
    </row>
    <row r="53" spans="1:6">
      <c r="A53" s="219">
        <v>46</v>
      </c>
      <c r="B53" s="220">
        <v>4302</v>
      </c>
      <c r="C53" s="220">
        <v>2</v>
      </c>
      <c r="D53" s="220" t="s">
        <v>2544</v>
      </c>
      <c r="E53" s="220" t="s">
        <v>2459</v>
      </c>
      <c r="F53" s="220" t="s">
        <v>911</v>
      </c>
    </row>
    <row r="54" spans="1:6">
      <c r="A54" s="219">
        <v>47</v>
      </c>
      <c r="B54" s="220">
        <v>4302</v>
      </c>
      <c r="C54" s="220">
        <v>3</v>
      </c>
      <c r="D54" s="220" t="s">
        <v>1985</v>
      </c>
      <c r="E54" s="220" t="s">
        <v>2460</v>
      </c>
      <c r="F54" s="220" t="s">
        <v>911</v>
      </c>
    </row>
    <row r="55" spans="1:6">
      <c r="A55" s="219">
        <v>48</v>
      </c>
      <c r="B55" s="220">
        <v>4302</v>
      </c>
      <c r="C55" s="220">
        <v>4</v>
      </c>
      <c r="D55" s="220" t="s">
        <v>2547</v>
      </c>
      <c r="E55" s="220" t="s">
        <v>2461</v>
      </c>
      <c r="F55" s="220" t="s">
        <v>911</v>
      </c>
    </row>
    <row r="56" spans="1:6">
      <c r="A56" s="219">
        <v>49</v>
      </c>
      <c r="B56" s="220">
        <v>4303</v>
      </c>
      <c r="C56" s="220">
        <v>1</v>
      </c>
      <c r="D56" s="220" t="s">
        <v>2542</v>
      </c>
      <c r="E56" s="220" t="s">
        <v>2462</v>
      </c>
      <c r="F56" s="220" t="s">
        <v>915</v>
      </c>
    </row>
    <row r="57" spans="1:6">
      <c r="A57" s="219">
        <v>50</v>
      </c>
      <c r="B57" s="220">
        <v>4303</v>
      </c>
      <c r="C57" s="220">
        <v>2</v>
      </c>
      <c r="D57" s="220" t="s">
        <v>2544</v>
      </c>
      <c r="E57" s="220" t="s">
        <v>2463</v>
      </c>
      <c r="F57" s="220" t="s">
        <v>915</v>
      </c>
    </row>
    <row r="58" spans="1:6">
      <c r="A58" s="219">
        <v>51</v>
      </c>
      <c r="B58" s="220">
        <v>4303</v>
      </c>
      <c r="C58" s="220">
        <v>3</v>
      </c>
      <c r="D58" s="220" t="s">
        <v>1985</v>
      </c>
      <c r="E58" s="220" t="s">
        <v>2464</v>
      </c>
      <c r="F58" s="220" t="s">
        <v>915</v>
      </c>
    </row>
    <row r="59" spans="1:6">
      <c r="A59" s="219">
        <v>52</v>
      </c>
      <c r="B59" s="220">
        <v>4303</v>
      </c>
      <c r="C59" s="220">
        <v>4</v>
      </c>
      <c r="D59" s="220" t="s">
        <v>2547</v>
      </c>
      <c r="E59" s="220" t="s">
        <v>2465</v>
      </c>
      <c r="F59" s="220" t="s">
        <v>915</v>
      </c>
    </row>
    <row r="60" spans="1:6">
      <c r="A60" s="219">
        <v>53</v>
      </c>
      <c r="B60" s="220">
        <v>4304</v>
      </c>
      <c r="C60" s="220">
        <v>1</v>
      </c>
      <c r="D60" s="220" t="s">
        <v>2542</v>
      </c>
      <c r="E60" s="220" t="s">
        <v>2466</v>
      </c>
      <c r="F60" s="220" t="s">
        <v>919</v>
      </c>
    </row>
    <row r="61" spans="1:6">
      <c r="A61" s="219">
        <v>54</v>
      </c>
      <c r="B61" s="220">
        <v>4304</v>
      </c>
      <c r="C61" s="220">
        <v>2</v>
      </c>
      <c r="D61" s="220" t="s">
        <v>2544</v>
      </c>
      <c r="E61" s="220" t="s">
        <v>2467</v>
      </c>
      <c r="F61" s="220" t="s">
        <v>919</v>
      </c>
    </row>
    <row r="62" spans="1:6">
      <c r="A62" s="219">
        <v>55</v>
      </c>
      <c r="B62" s="220">
        <v>4304</v>
      </c>
      <c r="C62" s="220">
        <v>3</v>
      </c>
      <c r="D62" s="220" t="s">
        <v>1985</v>
      </c>
      <c r="E62" s="220" t="s">
        <v>2468</v>
      </c>
      <c r="F62" s="220" t="s">
        <v>919</v>
      </c>
    </row>
    <row r="63" spans="1:6">
      <c r="A63" s="219">
        <v>56</v>
      </c>
      <c r="B63" s="220">
        <v>4304</v>
      </c>
      <c r="C63" s="220">
        <v>4</v>
      </c>
      <c r="D63" s="220" t="s">
        <v>2547</v>
      </c>
      <c r="E63" s="220" t="s">
        <v>2469</v>
      </c>
      <c r="F63" s="220" t="s">
        <v>919</v>
      </c>
    </row>
    <row r="64" spans="1:6">
      <c r="A64" s="219">
        <v>57</v>
      </c>
      <c r="B64" s="220">
        <v>5101</v>
      </c>
      <c r="C64" s="220">
        <v>1</v>
      </c>
      <c r="D64" s="220" t="s">
        <v>2534</v>
      </c>
      <c r="E64" s="220" t="s">
        <v>2470</v>
      </c>
      <c r="F64" s="220" t="s">
        <v>923</v>
      </c>
    </row>
    <row r="65" spans="1:6">
      <c r="A65" s="219">
        <v>58</v>
      </c>
      <c r="B65" s="220">
        <v>5101</v>
      </c>
      <c r="C65" s="220">
        <v>2</v>
      </c>
      <c r="D65" s="220" t="s">
        <v>2536</v>
      </c>
      <c r="E65" s="220" t="s">
        <v>2471</v>
      </c>
      <c r="F65" s="220" t="s">
        <v>923</v>
      </c>
    </row>
    <row r="66" spans="1:6">
      <c r="A66" s="219">
        <v>59</v>
      </c>
      <c r="B66" s="220">
        <v>5101</v>
      </c>
      <c r="C66" s="220">
        <v>3</v>
      </c>
      <c r="D66" s="220" t="s">
        <v>2538</v>
      </c>
      <c r="E66" s="220" t="s">
        <v>2472</v>
      </c>
      <c r="F66" s="220" t="s">
        <v>923</v>
      </c>
    </row>
    <row r="67" spans="1:6">
      <c r="A67" s="219">
        <v>60</v>
      </c>
      <c r="B67" s="220">
        <v>5101</v>
      </c>
      <c r="C67" s="220">
        <v>4</v>
      </c>
      <c r="D67" s="220" t="s">
        <v>2540</v>
      </c>
      <c r="E67" s="220" t="s">
        <v>2473</v>
      </c>
      <c r="F67" s="220" t="s">
        <v>923</v>
      </c>
    </row>
    <row r="68" spans="1:6">
      <c r="A68" s="219">
        <v>61</v>
      </c>
      <c r="B68" s="220">
        <v>5102</v>
      </c>
      <c r="C68" s="220">
        <v>1</v>
      </c>
      <c r="D68" s="220" t="s">
        <v>2534</v>
      </c>
      <c r="E68" s="220" t="s">
        <v>2474</v>
      </c>
      <c r="F68" s="220" t="s">
        <v>927</v>
      </c>
    </row>
    <row r="69" spans="1:6">
      <c r="A69" s="219">
        <v>62</v>
      </c>
      <c r="B69" s="220">
        <v>5102</v>
      </c>
      <c r="C69" s="220">
        <v>2</v>
      </c>
      <c r="D69" s="220" t="s">
        <v>2536</v>
      </c>
      <c r="E69" s="220" t="s">
        <v>2475</v>
      </c>
      <c r="F69" s="220" t="s">
        <v>927</v>
      </c>
    </row>
    <row r="70" spans="1:6">
      <c r="A70" s="219">
        <v>63</v>
      </c>
      <c r="B70" s="220">
        <v>5102</v>
      </c>
      <c r="C70" s="220">
        <v>3</v>
      </c>
      <c r="D70" s="220" t="s">
        <v>2538</v>
      </c>
      <c r="E70" s="220" t="s">
        <v>2476</v>
      </c>
      <c r="F70" s="220" t="s">
        <v>927</v>
      </c>
    </row>
    <row r="71" spans="1:6">
      <c r="A71" s="219">
        <v>64</v>
      </c>
      <c r="B71" s="220">
        <v>5102</v>
      </c>
      <c r="C71" s="220">
        <v>4</v>
      </c>
      <c r="D71" s="220" t="s">
        <v>2540</v>
      </c>
      <c r="E71" s="220" t="s">
        <v>2477</v>
      </c>
      <c r="F71" s="220" t="s">
        <v>927</v>
      </c>
    </row>
    <row r="72" spans="1:6">
      <c r="A72" s="219">
        <v>65</v>
      </c>
      <c r="B72" s="220">
        <v>5103</v>
      </c>
      <c r="C72" s="220">
        <v>1</v>
      </c>
      <c r="D72" s="220" t="s">
        <v>2534</v>
      </c>
      <c r="E72" s="220" t="s">
        <v>2478</v>
      </c>
      <c r="F72" s="220" t="s">
        <v>931</v>
      </c>
    </row>
    <row r="73" spans="1:6">
      <c r="A73" s="219">
        <v>66</v>
      </c>
      <c r="B73" s="220">
        <v>5103</v>
      </c>
      <c r="C73" s="220">
        <v>2</v>
      </c>
      <c r="D73" s="220" t="s">
        <v>2536</v>
      </c>
      <c r="E73" s="220" t="s">
        <v>2479</v>
      </c>
      <c r="F73" s="220" t="s">
        <v>931</v>
      </c>
    </row>
    <row r="74" spans="1:6">
      <c r="A74" s="219">
        <v>67</v>
      </c>
      <c r="B74" s="220">
        <v>5103</v>
      </c>
      <c r="C74" s="220">
        <v>3</v>
      </c>
      <c r="D74" s="220" t="s">
        <v>2538</v>
      </c>
      <c r="E74" s="220" t="s">
        <v>2480</v>
      </c>
      <c r="F74" s="220" t="s">
        <v>931</v>
      </c>
    </row>
    <row r="75" spans="1:6">
      <c r="A75" s="219">
        <v>68</v>
      </c>
      <c r="B75" s="220">
        <v>5103</v>
      </c>
      <c r="C75" s="220">
        <v>4</v>
      </c>
      <c r="D75" s="220" t="s">
        <v>2540</v>
      </c>
      <c r="E75" s="220" t="s">
        <v>2481</v>
      </c>
      <c r="F75" s="220" t="s">
        <v>931</v>
      </c>
    </row>
    <row r="76" spans="1:6">
      <c r="A76" s="219">
        <v>69</v>
      </c>
      <c r="B76" s="220">
        <v>5104</v>
      </c>
      <c r="C76" s="220">
        <v>1</v>
      </c>
      <c r="D76" s="220" t="s">
        <v>2534</v>
      </c>
      <c r="E76" s="220" t="s">
        <v>2482</v>
      </c>
      <c r="F76" s="220" t="s">
        <v>935</v>
      </c>
    </row>
    <row r="77" spans="1:6">
      <c r="A77" s="219">
        <v>70</v>
      </c>
      <c r="B77" s="220">
        <v>5104</v>
      </c>
      <c r="C77" s="220">
        <v>2</v>
      </c>
      <c r="D77" s="220" t="s">
        <v>2536</v>
      </c>
      <c r="E77" s="220" t="s">
        <v>2483</v>
      </c>
      <c r="F77" s="220" t="s">
        <v>935</v>
      </c>
    </row>
    <row r="78" spans="1:6">
      <c r="A78" s="219">
        <v>71</v>
      </c>
      <c r="B78" s="220">
        <v>5104</v>
      </c>
      <c r="C78" s="220">
        <v>3</v>
      </c>
      <c r="D78" s="220" t="s">
        <v>2538</v>
      </c>
      <c r="E78" s="220" t="s">
        <v>2484</v>
      </c>
      <c r="F78" s="220" t="s">
        <v>935</v>
      </c>
    </row>
    <row r="79" spans="1:6">
      <c r="A79" s="219">
        <v>72</v>
      </c>
      <c r="B79" s="220">
        <v>5104</v>
      </c>
      <c r="C79" s="220">
        <v>4</v>
      </c>
      <c r="D79" s="220" t="s">
        <v>2540</v>
      </c>
      <c r="E79" s="220" t="s">
        <v>2485</v>
      </c>
      <c r="F79" s="220" t="s">
        <v>935</v>
      </c>
    </row>
    <row r="80" spans="1:6">
      <c r="A80" s="219">
        <v>73</v>
      </c>
      <c r="B80" s="220">
        <v>5105</v>
      </c>
      <c r="C80" s="220">
        <v>1</v>
      </c>
      <c r="D80" s="220" t="s">
        <v>2534</v>
      </c>
      <c r="E80" s="220" t="s">
        <v>2486</v>
      </c>
      <c r="F80" s="220" t="s">
        <v>939</v>
      </c>
    </row>
    <row r="81" spans="1:6">
      <c r="A81" s="219">
        <v>74</v>
      </c>
      <c r="B81" s="220">
        <v>5105</v>
      </c>
      <c r="C81" s="220">
        <v>2</v>
      </c>
      <c r="D81" s="220" t="s">
        <v>2536</v>
      </c>
      <c r="E81" s="220" t="s">
        <v>2487</v>
      </c>
      <c r="F81" s="220" t="s">
        <v>939</v>
      </c>
    </row>
    <row r="82" spans="1:6">
      <c r="A82" s="219">
        <v>75</v>
      </c>
      <c r="B82" s="220">
        <v>5105</v>
      </c>
      <c r="C82" s="220">
        <v>3</v>
      </c>
      <c r="D82" s="220" t="s">
        <v>2538</v>
      </c>
      <c r="E82" s="220" t="s">
        <v>2488</v>
      </c>
      <c r="F82" s="220" t="s">
        <v>939</v>
      </c>
    </row>
    <row r="83" spans="1:6">
      <c r="A83" s="219">
        <v>76</v>
      </c>
      <c r="B83" s="220">
        <v>5105</v>
      </c>
      <c r="C83" s="220">
        <v>4</v>
      </c>
      <c r="D83" s="220" t="s">
        <v>2540</v>
      </c>
      <c r="E83" s="220" t="s">
        <v>2489</v>
      </c>
      <c r="F83" s="220" t="s">
        <v>939</v>
      </c>
    </row>
    <row r="84" spans="1:6">
      <c r="A84" s="219">
        <v>77</v>
      </c>
      <c r="B84" s="220">
        <v>5201</v>
      </c>
      <c r="C84" s="220">
        <v>1</v>
      </c>
      <c r="D84" s="220" t="s">
        <v>2534</v>
      </c>
      <c r="E84" s="220" t="s">
        <v>2490</v>
      </c>
      <c r="F84" s="220" t="s">
        <v>943</v>
      </c>
    </row>
    <row r="85" spans="1:6">
      <c r="A85" s="219">
        <v>78</v>
      </c>
      <c r="B85" s="220">
        <v>5201</v>
      </c>
      <c r="C85" s="220">
        <v>2</v>
      </c>
      <c r="D85" s="220" t="s">
        <v>2536</v>
      </c>
      <c r="E85" s="220" t="s">
        <v>2491</v>
      </c>
      <c r="F85" s="220" t="s">
        <v>943</v>
      </c>
    </row>
    <row r="86" spans="1:6">
      <c r="A86" s="219">
        <v>79</v>
      </c>
      <c r="B86" s="220">
        <v>5201</v>
      </c>
      <c r="C86" s="220">
        <v>3</v>
      </c>
      <c r="D86" s="220" t="s">
        <v>2538</v>
      </c>
      <c r="E86" s="220" t="s">
        <v>2492</v>
      </c>
      <c r="F86" s="220" t="s">
        <v>943</v>
      </c>
    </row>
    <row r="87" spans="1:6">
      <c r="A87" s="219">
        <v>80</v>
      </c>
      <c r="B87" s="220">
        <v>5201</v>
      </c>
      <c r="C87" s="220">
        <v>4</v>
      </c>
      <c r="D87" s="220" t="s">
        <v>2540</v>
      </c>
      <c r="E87" s="220" t="s">
        <v>2493</v>
      </c>
      <c r="F87" s="220" t="s">
        <v>943</v>
      </c>
    </row>
    <row r="88" spans="1:6">
      <c r="A88" s="219">
        <v>81</v>
      </c>
      <c r="B88" s="220">
        <v>5202</v>
      </c>
      <c r="C88" s="220">
        <v>1</v>
      </c>
      <c r="D88" s="220" t="s">
        <v>2534</v>
      </c>
      <c r="E88" s="220" t="s">
        <v>2494</v>
      </c>
      <c r="F88" s="220" t="s">
        <v>947</v>
      </c>
    </row>
    <row r="89" spans="1:6">
      <c r="A89" s="219">
        <v>82</v>
      </c>
      <c r="B89" s="220">
        <v>5202</v>
      </c>
      <c r="C89" s="220">
        <v>2</v>
      </c>
      <c r="D89" s="220" t="s">
        <v>2536</v>
      </c>
      <c r="E89" s="220" t="s">
        <v>2495</v>
      </c>
      <c r="F89" s="220" t="s">
        <v>947</v>
      </c>
    </row>
    <row r="90" spans="1:6">
      <c r="A90" s="219">
        <v>83</v>
      </c>
      <c r="B90" s="220">
        <v>5202</v>
      </c>
      <c r="C90" s="220">
        <v>3</v>
      </c>
      <c r="D90" s="220" t="s">
        <v>2538</v>
      </c>
      <c r="E90" s="220" t="s">
        <v>2496</v>
      </c>
      <c r="F90" s="220" t="s">
        <v>947</v>
      </c>
    </row>
    <row r="91" spans="1:6">
      <c r="A91" s="219">
        <v>84</v>
      </c>
      <c r="B91" s="220">
        <v>5202</v>
      </c>
      <c r="C91" s="220">
        <v>4</v>
      </c>
      <c r="D91" s="220" t="s">
        <v>2540</v>
      </c>
      <c r="E91" s="220" t="s">
        <v>2497</v>
      </c>
      <c r="F91" s="220" t="s">
        <v>947</v>
      </c>
    </row>
    <row r="92" spans="1:6">
      <c r="A92" s="219">
        <v>85</v>
      </c>
      <c r="B92" s="220">
        <v>5203</v>
      </c>
      <c r="C92" s="220">
        <v>1</v>
      </c>
      <c r="D92" s="220" t="s">
        <v>2534</v>
      </c>
      <c r="E92" s="220" t="s">
        <v>2498</v>
      </c>
      <c r="F92" s="220" t="s">
        <v>951</v>
      </c>
    </row>
    <row r="93" spans="1:6">
      <c r="A93" s="219">
        <v>86</v>
      </c>
      <c r="B93" s="220">
        <v>5203</v>
      </c>
      <c r="C93" s="220">
        <v>2</v>
      </c>
      <c r="D93" s="220" t="s">
        <v>2536</v>
      </c>
      <c r="E93" s="220" t="s">
        <v>2499</v>
      </c>
      <c r="F93" s="220" t="s">
        <v>951</v>
      </c>
    </row>
    <row r="94" spans="1:6">
      <c r="A94" s="219">
        <v>87</v>
      </c>
      <c r="B94" s="220">
        <v>5203</v>
      </c>
      <c r="C94" s="220">
        <v>3</v>
      </c>
      <c r="D94" s="220" t="s">
        <v>2538</v>
      </c>
      <c r="E94" s="220" t="s">
        <v>2500</v>
      </c>
      <c r="F94" s="220" t="s">
        <v>951</v>
      </c>
    </row>
    <row r="95" spans="1:6">
      <c r="A95" s="219">
        <v>88</v>
      </c>
      <c r="B95" s="220">
        <v>5203</v>
      </c>
      <c r="C95" s="220">
        <v>4</v>
      </c>
      <c r="D95" s="220" t="s">
        <v>2540</v>
      </c>
      <c r="E95" s="220" t="s">
        <v>2501</v>
      </c>
      <c r="F95" s="220" t="s">
        <v>951</v>
      </c>
    </row>
    <row r="96" spans="1:6">
      <c r="A96" s="219">
        <v>89</v>
      </c>
      <c r="B96" s="220">
        <v>5301</v>
      </c>
      <c r="C96" s="220">
        <v>1</v>
      </c>
      <c r="D96" s="220" t="s">
        <v>2534</v>
      </c>
      <c r="E96" s="220" t="s">
        <v>2502</v>
      </c>
      <c r="F96" s="220" t="s">
        <v>1951</v>
      </c>
    </row>
    <row r="97" spans="1:6">
      <c r="A97" s="219">
        <v>90</v>
      </c>
      <c r="B97" s="220">
        <v>5301</v>
      </c>
      <c r="C97" s="220">
        <v>2</v>
      </c>
      <c r="D97" s="220" t="s">
        <v>2536</v>
      </c>
      <c r="E97" s="220" t="s">
        <v>2503</v>
      </c>
      <c r="F97" s="220" t="s">
        <v>1951</v>
      </c>
    </row>
    <row r="98" spans="1:6">
      <c r="A98" s="219">
        <v>91</v>
      </c>
      <c r="B98" s="220">
        <v>5301</v>
      </c>
      <c r="C98" s="220">
        <v>3</v>
      </c>
      <c r="D98" s="220" t="s">
        <v>2538</v>
      </c>
      <c r="E98" s="220" t="s">
        <v>2504</v>
      </c>
      <c r="F98" s="220" t="s">
        <v>1951</v>
      </c>
    </row>
    <row r="99" spans="1:6">
      <c r="A99" s="219">
        <v>92</v>
      </c>
      <c r="B99" s="220">
        <v>5301</v>
      </c>
      <c r="C99" s="220">
        <v>4</v>
      </c>
      <c r="D99" s="220" t="s">
        <v>2540</v>
      </c>
      <c r="E99" s="220" t="s">
        <v>2505</v>
      </c>
      <c r="F99" s="220" t="s">
        <v>1951</v>
      </c>
    </row>
    <row r="100" spans="1:6">
      <c r="A100" s="219">
        <v>93</v>
      </c>
      <c r="B100" s="220">
        <v>5302</v>
      </c>
      <c r="C100" s="220">
        <v>1</v>
      </c>
      <c r="D100" s="220" t="s">
        <v>2534</v>
      </c>
      <c r="E100" s="220" t="s">
        <v>2506</v>
      </c>
      <c r="F100" s="220" t="s">
        <v>957</v>
      </c>
    </row>
    <row r="101" spans="1:6">
      <c r="A101" s="219">
        <v>94</v>
      </c>
      <c r="B101" s="220">
        <v>5302</v>
      </c>
      <c r="C101" s="220">
        <v>2</v>
      </c>
      <c r="D101" s="220" t="s">
        <v>2536</v>
      </c>
      <c r="E101" s="220" t="s">
        <v>2507</v>
      </c>
      <c r="F101" s="220" t="s">
        <v>957</v>
      </c>
    </row>
    <row r="102" spans="1:6">
      <c r="A102" s="219">
        <v>95</v>
      </c>
      <c r="B102" s="220">
        <v>5302</v>
      </c>
      <c r="C102" s="220">
        <v>3</v>
      </c>
      <c r="D102" s="220" t="s">
        <v>2538</v>
      </c>
      <c r="E102" s="220" t="s">
        <v>2508</v>
      </c>
      <c r="F102" s="220" t="s">
        <v>957</v>
      </c>
    </row>
    <row r="103" spans="1:6">
      <c r="A103" s="219">
        <v>96</v>
      </c>
      <c r="B103" s="220">
        <v>5302</v>
      </c>
      <c r="C103" s="220">
        <v>4</v>
      </c>
      <c r="D103" s="220" t="s">
        <v>2540</v>
      </c>
      <c r="E103" s="220" t="s">
        <v>2509</v>
      </c>
      <c r="F103" s="220" t="s">
        <v>957</v>
      </c>
    </row>
    <row r="104" spans="1:6">
      <c r="A104" s="219">
        <v>97</v>
      </c>
      <c r="B104" s="220">
        <v>5303</v>
      </c>
      <c r="C104" s="220">
        <v>1</v>
      </c>
      <c r="D104" s="220" t="s">
        <v>2534</v>
      </c>
      <c r="E104" s="220" t="s">
        <v>2510</v>
      </c>
      <c r="F104" s="220" t="s">
        <v>961</v>
      </c>
    </row>
    <row r="105" spans="1:6">
      <c r="A105" s="219">
        <v>98</v>
      </c>
      <c r="B105" s="220">
        <v>5303</v>
      </c>
      <c r="C105" s="220">
        <v>2</v>
      </c>
      <c r="D105" s="220" t="s">
        <v>2536</v>
      </c>
      <c r="E105" s="220" t="s">
        <v>2511</v>
      </c>
      <c r="F105" s="220" t="s">
        <v>961</v>
      </c>
    </row>
    <row r="106" spans="1:6">
      <c r="A106" s="219">
        <v>99</v>
      </c>
      <c r="B106" s="220">
        <v>5303</v>
      </c>
      <c r="C106" s="220">
        <v>3</v>
      </c>
      <c r="D106" s="220" t="s">
        <v>2538</v>
      </c>
      <c r="E106" s="220" t="s">
        <v>2512</v>
      </c>
      <c r="F106" s="220" t="s">
        <v>961</v>
      </c>
    </row>
    <row r="107" spans="1:6">
      <c r="A107" s="219">
        <v>100</v>
      </c>
      <c r="B107" s="220">
        <v>5303</v>
      </c>
      <c r="C107" s="220">
        <v>4</v>
      </c>
      <c r="D107" s="220" t="s">
        <v>2540</v>
      </c>
      <c r="E107" s="220" t="s">
        <v>2513</v>
      </c>
      <c r="F107" s="220" t="s">
        <v>961</v>
      </c>
    </row>
    <row r="108" spans="1:6">
      <c r="A108" s="219">
        <v>101</v>
      </c>
      <c r="B108" s="220">
        <v>6101</v>
      </c>
      <c r="C108" s="220">
        <v>1</v>
      </c>
      <c r="D108" s="220" t="s">
        <v>2534</v>
      </c>
      <c r="E108" s="220" t="s">
        <v>2514</v>
      </c>
      <c r="F108" s="220" t="s">
        <v>2418</v>
      </c>
    </row>
    <row r="109" spans="1:6">
      <c r="A109" s="219">
        <v>102</v>
      </c>
      <c r="B109" s="220">
        <v>6101</v>
      </c>
      <c r="C109" s="220">
        <v>2</v>
      </c>
      <c r="D109" s="220" t="s">
        <v>2536</v>
      </c>
      <c r="E109" s="220" t="s">
        <v>2515</v>
      </c>
      <c r="F109" s="220" t="s">
        <v>2418</v>
      </c>
    </row>
    <row r="110" spans="1:6">
      <c r="A110" s="219">
        <v>103</v>
      </c>
      <c r="B110" s="220">
        <v>6101</v>
      </c>
      <c r="C110" s="220">
        <v>3</v>
      </c>
      <c r="D110" s="220" t="s">
        <v>2538</v>
      </c>
      <c r="E110" s="220" t="s">
        <v>2516</v>
      </c>
      <c r="F110" s="220" t="s">
        <v>2418</v>
      </c>
    </row>
    <row r="111" spans="1:6">
      <c r="A111" s="219">
        <v>104</v>
      </c>
      <c r="B111" s="220">
        <v>6101</v>
      </c>
      <c r="C111" s="220">
        <v>4</v>
      </c>
      <c r="D111" s="220" t="s">
        <v>2540</v>
      </c>
      <c r="E111" s="220" t="s">
        <v>2517</v>
      </c>
      <c r="F111" s="220" t="s">
        <v>2418</v>
      </c>
    </row>
    <row r="112" spans="1:6">
      <c r="A112" s="219">
        <v>105</v>
      </c>
      <c r="B112" s="220">
        <v>6102</v>
      </c>
      <c r="C112" s="220">
        <v>1</v>
      </c>
      <c r="D112" s="220" t="s">
        <v>2534</v>
      </c>
      <c r="E112" s="220" t="s">
        <v>2518</v>
      </c>
      <c r="F112" s="220" t="s">
        <v>969</v>
      </c>
    </row>
    <row r="113" spans="1:6">
      <c r="A113" s="219">
        <v>106</v>
      </c>
      <c r="B113" s="220">
        <v>6102</v>
      </c>
      <c r="C113" s="220">
        <v>2</v>
      </c>
      <c r="D113" s="220" t="s">
        <v>2536</v>
      </c>
      <c r="E113" s="220" t="s">
        <v>2519</v>
      </c>
      <c r="F113" s="220" t="s">
        <v>969</v>
      </c>
    </row>
    <row r="114" spans="1:6">
      <c r="A114" s="219">
        <v>107</v>
      </c>
      <c r="B114" s="220">
        <v>6102</v>
      </c>
      <c r="C114" s="220">
        <v>3</v>
      </c>
      <c r="D114" s="220" t="s">
        <v>2538</v>
      </c>
      <c r="E114" s="220" t="s">
        <v>2520</v>
      </c>
      <c r="F114" s="220" t="s">
        <v>969</v>
      </c>
    </row>
    <row r="115" spans="1:6">
      <c r="A115" s="219">
        <v>108</v>
      </c>
      <c r="B115" s="220">
        <v>6102</v>
      </c>
      <c r="C115" s="220">
        <v>4</v>
      </c>
      <c r="D115" s="220" t="s">
        <v>2540</v>
      </c>
      <c r="E115" s="220" t="s">
        <v>2521</v>
      </c>
      <c r="F115" s="220" t="s">
        <v>969</v>
      </c>
    </row>
    <row r="116" spans="1:6">
      <c r="A116" s="219">
        <v>109</v>
      </c>
      <c r="B116" s="220">
        <v>6201</v>
      </c>
      <c r="C116" s="220">
        <v>1</v>
      </c>
      <c r="D116" s="220" t="s">
        <v>2534</v>
      </c>
      <c r="E116" s="220" t="s">
        <v>2522</v>
      </c>
      <c r="F116" s="220" t="s">
        <v>973</v>
      </c>
    </row>
    <row r="117" spans="1:6">
      <c r="A117" s="219">
        <v>110</v>
      </c>
      <c r="B117" s="220">
        <v>6201</v>
      </c>
      <c r="C117" s="220">
        <v>2</v>
      </c>
      <c r="D117" s="220" t="s">
        <v>2536</v>
      </c>
      <c r="E117" s="220" t="s">
        <v>2523</v>
      </c>
      <c r="F117" s="220" t="s">
        <v>973</v>
      </c>
    </row>
    <row r="118" spans="1:6">
      <c r="A118" s="219">
        <v>111</v>
      </c>
      <c r="B118" s="220">
        <v>6201</v>
      </c>
      <c r="C118" s="220">
        <v>3</v>
      </c>
      <c r="D118" s="220" t="s">
        <v>2538</v>
      </c>
      <c r="E118" s="220" t="s">
        <v>2524</v>
      </c>
      <c r="F118" s="220" t="s">
        <v>973</v>
      </c>
    </row>
    <row r="119" spans="1:6">
      <c r="A119" s="219">
        <v>112</v>
      </c>
      <c r="B119" s="220">
        <v>6201</v>
      </c>
      <c r="C119" s="220">
        <v>4</v>
      </c>
      <c r="D119" s="220" t="s">
        <v>2540</v>
      </c>
      <c r="E119" s="220" t="s">
        <v>2525</v>
      </c>
      <c r="F119" s="220" t="s">
        <v>973</v>
      </c>
    </row>
    <row r="120" spans="1:6">
      <c r="A120" s="219">
        <v>113</v>
      </c>
      <c r="B120" s="220">
        <v>6301</v>
      </c>
      <c r="C120" s="220">
        <v>1</v>
      </c>
      <c r="D120" s="220" t="s">
        <v>2534</v>
      </c>
      <c r="E120" s="220" t="s">
        <v>2526</v>
      </c>
      <c r="F120" s="220" t="s">
        <v>977</v>
      </c>
    </row>
    <row r="121" spans="1:6">
      <c r="A121" s="219">
        <v>114</v>
      </c>
      <c r="B121" s="220">
        <v>6301</v>
      </c>
      <c r="C121" s="220">
        <v>2</v>
      </c>
      <c r="D121" s="220" t="s">
        <v>2536</v>
      </c>
      <c r="E121" s="220" t="s">
        <v>2527</v>
      </c>
      <c r="F121" s="220" t="s">
        <v>977</v>
      </c>
    </row>
    <row r="122" spans="1:6">
      <c r="A122" s="219">
        <v>115</v>
      </c>
      <c r="B122" s="220">
        <v>6301</v>
      </c>
      <c r="C122" s="220">
        <v>3</v>
      </c>
      <c r="D122" s="220" t="s">
        <v>2538</v>
      </c>
      <c r="E122" s="220" t="s">
        <v>2528</v>
      </c>
      <c r="F122" s="220" t="s">
        <v>977</v>
      </c>
    </row>
    <row r="123" spans="1:6">
      <c r="A123" s="219">
        <v>116</v>
      </c>
      <c r="B123" s="220">
        <v>6301</v>
      </c>
      <c r="C123" s="220">
        <v>4</v>
      </c>
      <c r="D123" s="220" t="s">
        <v>2540</v>
      </c>
      <c r="E123" s="220" t="s">
        <v>2529</v>
      </c>
      <c r="F123" s="220" t="s">
        <v>977</v>
      </c>
    </row>
    <row r="124" spans="1:6">
      <c r="A124" s="219">
        <v>117</v>
      </c>
      <c r="B124" s="221">
        <v>6103</v>
      </c>
      <c r="C124" s="221">
        <v>1</v>
      </c>
      <c r="D124" s="221" t="s">
        <v>2534</v>
      </c>
      <c r="E124" s="221" t="s">
        <v>2530</v>
      </c>
      <c r="F124" s="222" t="s">
        <v>2419</v>
      </c>
    </row>
    <row r="125" spans="1:6">
      <c r="A125" s="219">
        <v>118</v>
      </c>
      <c r="B125" s="221">
        <v>6103</v>
      </c>
      <c r="C125" s="221">
        <v>2</v>
      </c>
      <c r="D125" s="221" t="s">
        <v>2536</v>
      </c>
      <c r="E125" s="221" t="s">
        <v>2531</v>
      </c>
      <c r="F125" s="222" t="s">
        <v>2419</v>
      </c>
    </row>
    <row r="126" spans="1:6">
      <c r="A126" s="219">
        <v>119</v>
      </c>
      <c r="B126" s="221">
        <v>6103</v>
      </c>
      <c r="C126" s="221">
        <v>3</v>
      </c>
      <c r="D126" s="221" t="s">
        <v>2538</v>
      </c>
      <c r="E126" s="221" t="s">
        <v>2532</v>
      </c>
      <c r="F126" s="222" t="s">
        <v>2419</v>
      </c>
    </row>
    <row r="127" spans="1:6">
      <c r="A127" s="219">
        <v>120</v>
      </c>
      <c r="B127" s="221">
        <v>6103</v>
      </c>
      <c r="C127" s="221">
        <v>4</v>
      </c>
      <c r="D127" s="221" t="s">
        <v>2540</v>
      </c>
      <c r="E127" s="221" t="s">
        <v>2533</v>
      </c>
      <c r="F127" s="222" t="s">
        <v>2419</v>
      </c>
    </row>
  </sheetData>
  <phoneticPr fontId="15" type="noConversion"/>
  <conditionalFormatting sqref="A3:A7">
    <cfRule type="containsText" dxfId="212" priority="135" operator="containsText" text="请填写">
      <formula>NOT(ISERROR(SEARCH("请填写",A3)))</formula>
    </cfRule>
  </conditionalFormatting>
  <conditionalFormatting sqref="D3:D7">
    <cfRule type="containsText" dxfId="211" priority="8" operator="containsText" text="请填写">
      <formula>NOT(ISERROR(SEARCH("请填写",D3)))</formula>
    </cfRule>
    <cfRule type="containsText" priority="9" operator="containsText" text="请填写">
      <formula>NOT(ISERROR(SEARCH("请填写",D3)))</formula>
    </cfRule>
  </conditionalFormatting>
  <conditionalFormatting sqref="D5:D6">
    <cfRule type="containsText" priority="10" operator="containsText" text="请填写">
      <formula>NOT(ISERROR(SEARCH("请填写",D5)))</formula>
    </cfRule>
  </conditionalFormatting>
  <conditionalFormatting sqref="E3:F7">
    <cfRule type="containsText" dxfId="210" priority="1" operator="containsText" text="请填写">
      <formula>NOT(ISERROR(SEARCH("请填写",E3)))</formula>
    </cfRule>
    <cfRule type="containsText" priority="2" operator="containsText" text="请填写">
      <formula>NOT(ISERROR(SEARCH("请填写",E3)))</formula>
    </cfRule>
  </conditionalFormatting>
  <conditionalFormatting sqref="E5:F6">
    <cfRule type="containsText" priority="3" operator="containsText" text="请填写">
      <formula>NOT(ISERROR(SEARCH("请填写",E5)))</formula>
    </cfRule>
  </conditionalFormatting>
  <dataValidations count="2">
    <dataValidation type="list" allowBlank="1" showInputMessage="1" showErrorMessage="1" sqref="A3:D3" xr:uid="{00000000-0002-0000-08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D4" xr:uid="{00000000-0002-0000-0800-000001000000}">
      <formula1>"All,Server,Client,None"</formula1>
    </dataValidation>
  </dataValidations>
  <pageMargins left="0.7" right="0.7" top="0.75" bottom="0.75" header="0.3" footer="0.3"/>
  <pageSetup paperSize="9" fitToHeight="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67"/>
  <sheetViews>
    <sheetView workbookViewId="0">
      <selection activeCell="C9" sqref="C9:C31"/>
    </sheetView>
  </sheetViews>
  <sheetFormatPr defaultRowHeight="13.5"/>
  <cols>
    <col min="3" max="3" width="22.75" bestFit="1" customWidth="1"/>
  </cols>
  <sheetData>
    <row r="1" spans="1:3">
      <c r="A1" s="3" t="s">
        <v>36</v>
      </c>
      <c r="B1" s="3" t="s">
        <v>798</v>
      </c>
      <c r="C1" s="3" t="s">
        <v>1984</v>
      </c>
    </row>
    <row r="2" spans="1:3">
      <c r="A2" s="3" t="s">
        <v>41</v>
      </c>
      <c r="B2" s="3" t="s">
        <v>978</v>
      </c>
      <c r="C2" s="3" t="s">
        <v>801</v>
      </c>
    </row>
    <row r="3" spans="1:3">
      <c r="A3" s="3" t="s">
        <v>46</v>
      </c>
      <c r="B3" s="3" t="s">
        <v>46</v>
      </c>
      <c r="C3" s="3" t="s">
        <v>802</v>
      </c>
    </row>
    <row r="4" spans="1:3">
      <c r="A4" s="3" t="s">
        <v>48</v>
      </c>
      <c r="B4" s="3" t="s">
        <v>48</v>
      </c>
      <c r="C4" s="3" t="s">
        <v>48</v>
      </c>
    </row>
    <row r="5" spans="1:3" ht="27">
      <c r="A5" s="3" t="s">
        <v>51</v>
      </c>
      <c r="B5" s="3" t="s">
        <v>794</v>
      </c>
      <c r="C5" s="3" t="s">
        <v>803</v>
      </c>
    </row>
    <row r="6" spans="1:3" ht="40.5">
      <c r="A6" s="3" t="s">
        <v>52</v>
      </c>
      <c r="B6" s="3" t="s">
        <v>795</v>
      </c>
      <c r="C6" s="3"/>
    </row>
    <row r="7" spans="1:3">
      <c r="A7" s="3" t="s">
        <v>8</v>
      </c>
      <c r="B7" s="3" t="s">
        <v>796</v>
      </c>
      <c r="C7" s="3" t="s">
        <v>804</v>
      </c>
    </row>
    <row r="8" spans="1:3">
      <c r="A8" s="4">
        <v>1</v>
      </c>
      <c r="B8" s="4">
        <v>5</v>
      </c>
      <c r="C8" s="4" t="s">
        <v>2549</v>
      </c>
    </row>
    <row r="9" spans="1:3">
      <c r="A9" s="4">
        <v>2</v>
      </c>
      <c r="B9" s="4">
        <v>10</v>
      </c>
      <c r="C9" s="4" t="s">
        <v>2550</v>
      </c>
    </row>
    <row r="10" spans="1:3">
      <c r="A10" s="4">
        <v>3</v>
      </c>
      <c r="B10" s="4">
        <v>15</v>
      </c>
      <c r="C10" s="4" t="s">
        <v>2549</v>
      </c>
    </row>
    <row r="11" spans="1:3">
      <c r="A11" s="4">
        <v>4</v>
      </c>
      <c r="B11" s="4">
        <v>20</v>
      </c>
      <c r="C11" s="4" t="s">
        <v>2550</v>
      </c>
    </row>
    <row r="12" spans="1:3">
      <c r="A12" s="4">
        <v>5</v>
      </c>
      <c r="B12" s="4">
        <v>25</v>
      </c>
      <c r="C12" s="4" t="s">
        <v>2549</v>
      </c>
    </row>
    <row r="13" spans="1:3">
      <c r="A13" s="4">
        <v>6</v>
      </c>
      <c r="B13" s="4">
        <v>30</v>
      </c>
      <c r="C13" s="4" t="s">
        <v>2550</v>
      </c>
    </row>
    <row r="14" spans="1:3">
      <c r="A14" s="4">
        <v>7</v>
      </c>
      <c r="B14" s="4">
        <v>35</v>
      </c>
      <c r="C14" s="4" t="s">
        <v>2549</v>
      </c>
    </row>
    <row r="15" spans="1:3">
      <c r="A15" s="4">
        <v>8</v>
      </c>
      <c r="B15" s="4">
        <v>40</v>
      </c>
      <c r="C15" s="4" t="s">
        <v>2550</v>
      </c>
    </row>
    <row r="16" spans="1:3">
      <c r="A16" s="4">
        <v>9</v>
      </c>
      <c r="B16" s="4">
        <v>45</v>
      </c>
      <c r="C16" s="4" t="s">
        <v>2549</v>
      </c>
    </row>
    <row r="17" spans="1:3">
      <c r="A17" s="4">
        <v>10</v>
      </c>
      <c r="B17" s="4">
        <v>50</v>
      </c>
      <c r="C17" s="4" t="s">
        <v>2550</v>
      </c>
    </row>
    <row r="18" spans="1:3">
      <c r="A18" s="4">
        <v>11</v>
      </c>
      <c r="B18" s="4">
        <v>55</v>
      </c>
      <c r="C18" s="4" t="s">
        <v>2549</v>
      </c>
    </row>
    <row r="19" spans="1:3">
      <c r="A19" s="4">
        <v>12</v>
      </c>
      <c r="B19" s="4">
        <v>60</v>
      </c>
      <c r="C19" s="4" t="s">
        <v>2550</v>
      </c>
    </row>
    <row r="20" spans="1:3">
      <c r="A20" s="4">
        <v>13</v>
      </c>
      <c r="B20" s="4">
        <v>65</v>
      </c>
      <c r="C20" s="4" t="s">
        <v>2549</v>
      </c>
    </row>
    <row r="21" spans="1:3">
      <c r="A21" s="4">
        <v>14</v>
      </c>
      <c r="B21" s="4">
        <v>70</v>
      </c>
      <c r="C21" s="4" t="s">
        <v>2550</v>
      </c>
    </row>
    <row r="22" spans="1:3">
      <c r="A22" s="4">
        <v>15</v>
      </c>
      <c r="B22" s="4">
        <v>75</v>
      </c>
      <c r="C22" s="4" t="s">
        <v>2549</v>
      </c>
    </row>
    <row r="23" spans="1:3">
      <c r="A23" s="4">
        <v>16</v>
      </c>
      <c r="B23" s="4">
        <v>80</v>
      </c>
      <c r="C23" s="4" t="s">
        <v>2550</v>
      </c>
    </row>
    <row r="24" spans="1:3">
      <c r="A24" s="4">
        <v>17</v>
      </c>
      <c r="B24" s="4">
        <v>85</v>
      </c>
      <c r="C24" s="4" t="s">
        <v>2549</v>
      </c>
    </row>
    <row r="25" spans="1:3">
      <c r="A25" s="4">
        <v>18</v>
      </c>
      <c r="B25" s="4">
        <v>90</v>
      </c>
      <c r="C25" s="4" t="s">
        <v>2550</v>
      </c>
    </row>
    <row r="26" spans="1:3">
      <c r="A26" s="4">
        <v>19</v>
      </c>
      <c r="B26" s="4">
        <v>95</v>
      </c>
      <c r="C26" s="4" t="s">
        <v>2549</v>
      </c>
    </row>
    <row r="27" spans="1:3">
      <c r="A27" s="4">
        <v>20</v>
      </c>
      <c r="B27" s="4">
        <v>100</v>
      </c>
      <c r="C27" s="4" t="s">
        <v>2550</v>
      </c>
    </row>
    <row r="28" spans="1:3">
      <c r="A28" s="4">
        <v>21</v>
      </c>
      <c r="B28" s="4">
        <v>105</v>
      </c>
      <c r="C28" s="4" t="s">
        <v>2551</v>
      </c>
    </row>
    <row r="29" spans="1:3">
      <c r="A29" s="4">
        <v>22</v>
      </c>
      <c r="B29" s="4">
        <v>110</v>
      </c>
      <c r="C29" s="4" t="s">
        <v>2552</v>
      </c>
    </row>
    <row r="30" spans="1:3">
      <c r="A30" s="4">
        <v>23</v>
      </c>
      <c r="B30" s="4">
        <v>115</v>
      </c>
      <c r="C30" s="4" t="s">
        <v>2551</v>
      </c>
    </row>
    <row r="31" spans="1:3">
      <c r="A31" s="4">
        <v>24</v>
      </c>
      <c r="B31" s="4">
        <v>120</v>
      </c>
      <c r="C31" s="4" t="s">
        <v>2552</v>
      </c>
    </row>
    <row r="32" spans="1:3">
      <c r="A32" s="4">
        <v>25</v>
      </c>
      <c r="B32" s="4">
        <v>125</v>
      </c>
      <c r="C32" s="4" t="s">
        <v>2551</v>
      </c>
    </row>
    <row r="33" spans="1:3">
      <c r="A33" s="4">
        <v>26</v>
      </c>
      <c r="B33" s="4">
        <v>130</v>
      </c>
      <c r="C33" s="4" t="s">
        <v>2552</v>
      </c>
    </row>
    <row r="34" spans="1:3">
      <c r="A34" s="4">
        <v>27</v>
      </c>
      <c r="B34" s="4">
        <v>135</v>
      </c>
      <c r="C34" s="4" t="s">
        <v>2551</v>
      </c>
    </row>
    <row r="35" spans="1:3">
      <c r="A35" s="4">
        <v>28</v>
      </c>
      <c r="B35" s="4">
        <v>140</v>
      </c>
      <c r="C35" t="s">
        <v>2552</v>
      </c>
    </row>
    <row r="36" spans="1:3">
      <c r="A36" s="4">
        <v>29</v>
      </c>
      <c r="B36" s="4">
        <v>145</v>
      </c>
      <c r="C36" t="s">
        <v>2551</v>
      </c>
    </row>
    <row r="37" spans="1:3">
      <c r="A37" s="4">
        <v>30</v>
      </c>
      <c r="B37" s="4">
        <v>150</v>
      </c>
      <c r="C37" t="s">
        <v>2552</v>
      </c>
    </row>
    <row r="38" spans="1:3">
      <c r="A38" s="4">
        <v>31</v>
      </c>
      <c r="B38" s="4">
        <v>155</v>
      </c>
      <c r="C38" t="s">
        <v>2553</v>
      </c>
    </row>
    <row r="39" spans="1:3">
      <c r="A39" s="4">
        <v>32</v>
      </c>
      <c r="B39" s="4">
        <v>160</v>
      </c>
      <c r="C39" t="s">
        <v>2554</v>
      </c>
    </row>
    <row r="40" spans="1:3">
      <c r="A40" s="4">
        <v>33</v>
      </c>
      <c r="B40" s="4">
        <v>165</v>
      </c>
      <c r="C40" t="s">
        <v>2553</v>
      </c>
    </row>
    <row r="41" spans="1:3">
      <c r="A41" s="4">
        <v>34</v>
      </c>
      <c r="B41" s="4">
        <v>170</v>
      </c>
      <c r="C41" t="s">
        <v>2554</v>
      </c>
    </row>
    <row r="42" spans="1:3">
      <c r="A42" s="4">
        <v>35</v>
      </c>
      <c r="B42" s="4">
        <v>175</v>
      </c>
      <c r="C42" t="s">
        <v>2553</v>
      </c>
    </row>
    <row r="43" spans="1:3">
      <c r="A43" s="4">
        <v>36</v>
      </c>
      <c r="B43" s="4">
        <v>180</v>
      </c>
      <c r="C43" t="s">
        <v>2554</v>
      </c>
    </row>
    <row r="44" spans="1:3">
      <c r="A44" s="4">
        <v>37</v>
      </c>
      <c r="B44" s="4">
        <v>185</v>
      </c>
      <c r="C44" t="s">
        <v>2553</v>
      </c>
    </row>
    <row r="45" spans="1:3">
      <c r="A45" s="4">
        <v>38</v>
      </c>
      <c r="B45" s="4">
        <v>190</v>
      </c>
      <c r="C45" t="s">
        <v>2554</v>
      </c>
    </row>
    <row r="46" spans="1:3">
      <c r="A46" s="4">
        <v>39</v>
      </c>
      <c r="B46" s="4">
        <v>195</v>
      </c>
      <c r="C46" t="s">
        <v>2553</v>
      </c>
    </row>
    <row r="47" spans="1:3">
      <c r="A47" s="4">
        <v>40</v>
      </c>
      <c r="B47" s="4">
        <v>200</v>
      </c>
      <c r="C47" t="s">
        <v>2554</v>
      </c>
    </row>
    <row r="48" spans="1:3">
      <c r="A48" s="4">
        <v>41</v>
      </c>
      <c r="B48" s="4">
        <v>205</v>
      </c>
      <c r="C48" t="s">
        <v>2553</v>
      </c>
    </row>
    <row r="49" spans="1:3">
      <c r="A49" s="4">
        <v>42</v>
      </c>
      <c r="B49" s="4">
        <v>210</v>
      </c>
      <c r="C49" t="s">
        <v>2554</v>
      </c>
    </row>
    <row r="50" spans="1:3">
      <c r="A50" s="4">
        <v>43</v>
      </c>
      <c r="B50" s="4">
        <v>215</v>
      </c>
      <c r="C50" t="s">
        <v>2553</v>
      </c>
    </row>
    <row r="51" spans="1:3">
      <c r="A51" s="4">
        <v>44</v>
      </c>
      <c r="B51" s="4">
        <v>220</v>
      </c>
      <c r="C51" t="s">
        <v>2554</v>
      </c>
    </row>
    <row r="52" spans="1:3">
      <c r="A52" s="4">
        <v>45</v>
      </c>
      <c r="B52" s="4">
        <v>225</v>
      </c>
      <c r="C52" t="s">
        <v>2553</v>
      </c>
    </row>
    <row r="53" spans="1:3">
      <c r="A53" s="4">
        <v>46</v>
      </c>
      <c r="B53" s="4">
        <v>230</v>
      </c>
      <c r="C53" t="s">
        <v>2554</v>
      </c>
    </row>
    <row r="54" spans="1:3">
      <c r="A54" s="4">
        <v>47</v>
      </c>
      <c r="B54" s="4">
        <v>235</v>
      </c>
      <c r="C54" t="s">
        <v>2553</v>
      </c>
    </row>
    <row r="55" spans="1:3">
      <c r="A55" s="4">
        <v>48</v>
      </c>
      <c r="B55" s="4">
        <v>240</v>
      </c>
      <c r="C55" t="s">
        <v>2554</v>
      </c>
    </row>
    <row r="56" spans="1:3">
      <c r="A56" s="4">
        <v>49</v>
      </c>
      <c r="B56" s="4">
        <v>245</v>
      </c>
      <c r="C56" t="s">
        <v>2553</v>
      </c>
    </row>
    <row r="57" spans="1:3">
      <c r="A57" s="4">
        <v>50</v>
      </c>
      <c r="B57" s="4">
        <v>250</v>
      </c>
      <c r="C57" t="s">
        <v>2554</v>
      </c>
    </row>
    <row r="58" spans="1:3">
      <c r="A58" s="4">
        <v>51</v>
      </c>
      <c r="B58" s="4">
        <v>255</v>
      </c>
      <c r="C58" t="s">
        <v>2553</v>
      </c>
    </row>
    <row r="59" spans="1:3">
      <c r="A59" s="4">
        <v>52</v>
      </c>
      <c r="B59" s="4">
        <v>260</v>
      </c>
      <c r="C59" t="s">
        <v>2554</v>
      </c>
    </row>
    <row r="60" spans="1:3">
      <c r="A60" s="4">
        <v>53</v>
      </c>
      <c r="B60" s="4">
        <v>265</v>
      </c>
      <c r="C60" t="s">
        <v>2553</v>
      </c>
    </row>
    <row r="61" spans="1:3">
      <c r="A61" s="4">
        <v>54</v>
      </c>
      <c r="B61" s="4">
        <v>270</v>
      </c>
      <c r="C61" t="s">
        <v>2554</v>
      </c>
    </row>
    <row r="62" spans="1:3">
      <c r="A62" s="4">
        <v>55</v>
      </c>
      <c r="B62" s="4">
        <v>275</v>
      </c>
      <c r="C62" t="s">
        <v>2553</v>
      </c>
    </row>
    <row r="63" spans="1:3">
      <c r="A63" s="4">
        <v>56</v>
      </c>
      <c r="B63" s="4">
        <v>280</v>
      </c>
      <c r="C63" t="s">
        <v>2554</v>
      </c>
    </row>
    <row r="64" spans="1:3">
      <c r="A64" s="4">
        <v>57</v>
      </c>
      <c r="B64" s="4">
        <v>285</v>
      </c>
      <c r="C64" t="s">
        <v>2553</v>
      </c>
    </row>
    <row r="65" spans="1:3">
      <c r="A65" s="4">
        <v>58</v>
      </c>
      <c r="B65" s="4">
        <v>290</v>
      </c>
      <c r="C65" t="s">
        <v>2554</v>
      </c>
    </row>
    <row r="66" spans="1:3">
      <c r="A66" s="4">
        <v>59</v>
      </c>
      <c r="B66" s="4">
        <v>295</v>
      </c>
      <c r="C66" t="s">
        <v>2553</v>
      </c>
    </row>
    <row r="67" spans="1:3">
      <c r="A67" s="4">
        <v>60</v>
      </c>
      <c r="B67" s="4">
        <v>300</v>
      </c>
      <c r="C67" t="s">
        <v>2554</v>
      </c>
    </row>
  </sheetData>
  <phoneticPr fontId="15" type="noConversion"/>
  <conditionalFormatting sqref="A3:A7">
    <cfRule type="containsText" dxfId="209" priority="5" operator="containsText" text="请填写">
      <formula>NOT(ISERROR(SEARCH("请填写",A3)))</formula>
    </cfRule>
  </conditionalFormatting>
  <conditionalFormatting sqref="B3:B7">
    <cfRule type="containsText" dxfId="208" priority="3" operator="containsText" text="请填写">
      <formula>NOT(ISERROR(SEARCH("请填写",B3)))</formula>
    </cfRule>
  </conditionalFormatting>
  <conditionalFormatting sqref="C3:C7">
    <cfRule type="containsText" dxfId="207" priority="2" operator="containsText" text="请填写">
      <formula>NOT(ISERROR(SEARCH("请填写",C3)))</formula>
    </cfRule>
  </conditionalFormatting>
  <conditionalFormatting sqref="B1:B7">
    <cfRule type="duplicateValues" dxfId="206" priority="6"/>
  </conditionalFormatting>
  <dataValidations count="2">
    <dataValidation type="list" allowBlank="1" showInputMessage="1" showErrorMessage="1" sqref="A4:C4" xr:uid="{00000000-0002-0000-0900-000000000000}">
      <formula1>"All,Server,Client,None"</formula1>
    </dataValidation>
    <dataValidation type="list" allowBlank="1" showInputMessage="1" showErrorMessage="1" sqref="A3:C3" xr:uid="{00000000-0002-0000-0900-000001000000}">
      <formula1>"string,string[],transtring,transtring[],float,float[],uint32,uint32[],bool,bool[],int32,int32[],[uint=uint],[uint=int],[uint=float],[uint=string],[int=uint],[int=int],[int=float],[int=string],[string=uint],[string=int],[string=float],[string=string]"</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3" tint="-0.499984740745262"/>
  </sheetPr>
  <dimension ref="A1:M102"/>
  <sheetViews>
    <sheetView workbookViewId="0">
      <pane xSplit="3" ySplit="7" topLeftCell="D98" activePane="bottomRight" state="frozenSplit"/>
      <selection pane="topRight"/>
      <selection pane="bottomLeft"/>
      <selection pane="bottomRight" activeCell="G117" sqref="G117"/>
    </sheetView>
  </sheetViews>
  <sheetFormatPr defaultColWidth="9" defaultRowHeight="13.5"/>
  <cols>
    <col min="2" max="2" width="27.75" customWidth="1"/>
    <col min="4" max="4" width="31.625" customWidth="1"/>
    <col min="5" max="5" width="28.375" customWidth="1"/>
    <col min="6" max="6" width="9.5" customWidth="1"/>
    <col min="7" max="7" width="40.5" customWidth="1"/>
  </cols>
  <sheetData>
    <row r="1" spans="1:12" ht="27">
      <c r="A1" s="3" t="s">
        <v>36</v>
      </c>
      <c r="B1" s="3" t="s">
        <v>96</v>
      </c>
      <c r="C1" s="3" t="s">
        <v>97</v>
      </c>
      <c r="D1" s="6" t="s">
        <v>65</v>
      </c>
      <c r="E1" s="1" t="s">
        <v>98</v>
      </c>
      <c r="F1" s="5" t="s">
        <v>99</v>
      </c>
      <c r="G1" s="3" t="s">
        <v>100</v>
      </c>
      <c r="H1" s="3" t="s">
        <v>101</v>
      </c>
      <c r="I1" s="1" t="s">
        <v>102</v>
      </c>
      <c r="J1" s="12" t="s">
        <v>103</v>
      </c>
    </row>
    <row r="2" spans="1:12" ht="27">
      <c r="A2" s="3" t="s">
        <v>41</v>
      </c>
      <c r="B2" s="3" t="s">
        <v>104</v>
      </c>
      <c r="C2" s="3" t="s">
        <v>105</v>
      </c>
      <c r="D2" s="6" t="s">
        <v>68</v>
      </c>
      <c r="E2" s="1" t="s">
        <v>69</v>
      </c>
      <c r="F2" s="5" t="s">
        <v>70</v>
      </c>
      <c r="G2" s="3" t="s">
        <v>106</v>
      </c>
      <c r="H2" s="3" t="s">
        <v>107</v>
      </c>
      <c r="I2" s="1" t="s">
        <v>108</v>
      </c>
      <c r="J2" s="12" t="s">
        <v>109</v>
      </c>
    </row>
    <row r="3" spans="1:12">
      <c r="A3" s="3" t="s">
        <v>46</v>
      </c>
      <c r="B3" s="3" t="s">
        <v>46</v>
      </c>
      <c r="C3" s="3" t="s">
        <v>46</v>
      </c>
      <c r="D3" s="6" t="s">
        <v>47</v>
      </c>
      <c r="E3" s="1" t="s">
        <v>47</v>
      </c>
      <c r="F3" s="5" t="s">
        <v>46</v>
      </c>
      <c r="G3" s="3" t="s">
        <v>47</v>
      </c>
      <c r="H3" s="3" t="s">
        <v>110</v>
      </c>
      <c r="I3" s="1" t="s">
        <v>110</v>
      </c>
      <c r="J3" s="1" t="s">
        <v>46</v>
      </c>
    </row>
    <row r="4" spans="1:12">
      <c r="A4" s="3" t="s">
        <v>48</v>
      </c>
      <c r="B4" s="3" t="s">
        <v>49</v>
      </c>
      <c r="C4" s="3" t="s">
        <v>48</v>
      </c>
      <c r="D4" s="6" t="s">
        <v>49</v>
      </c>
      <c r="E4" s="1" t="s">
        <v>49</v>
      </c>
      <c r="F4" s="5" t="s">
        <v>48</v>
      </c>
      <c r="G4" s="3" t="s">
        <v>49</v>
      </c>
      <c r="H4" s="3" t="s">
        <v>49</v>
      </c>
      <c r="I4" s="1" t="s">
        <v>49</v>
      </c>
      <c r="J4" s="1" t="s">
        <v>49</v>
      </c>
    </row>
    <row r="5" spans="1:12">
      <c r="A5" s="3" t="s">
        <v>51</v>
      </c>
      <c r="B5" s="3"/>
      <c r="C5" s="3"/>
      <c r="D5" s="6"/>
      <c r="E5" s="1"/>
      <c r="F5" s="5"/>
      <c r="G5" s="3"/>
      <c r="H5" s="3"/>
      <c r="I5" s="1"/>
      <c r="J5" s="1"/>
    </row>
    <row r="6" spans="1:12" ht="67.5">
      <c r="A6" s="3" t="s">
        <v>52</v>
      </c>
      <c r="B6" s="3" t="s">
        <v>111</v>
      </c>
      <c r="C6" s="1" t="s">
        <v>112</v>
      </c>
      <c r="D6" s="6"/>
      <c r="E6" s="1"/>
      <c r="F6" s="5" t="s">
        <v>113</v>
      </c>
      <c r="G6" s="3"/>
      <c r="H6" s="3"/>
      <c r="I6" s="1"/>
      <c r="J6" s="1" t="s">
        <v>114</v>
      </c>
    </row>
    <row r="7" spans="1:12">
      <c r="A7" s="3" t="s">
        <v>8</v>
      </c>
      <c r="B7" s="3" t="s">
        <v>8</v>
      </c>
      <c r="C7" s="3" t="s">
        <v>8</v>
      </c>
      <c r="D7" s="6" t="s">
        <v>8</v>
      </c>
      <c r="E7" s="1" t="s">
        <v>8</v>
      </c>
      <c r="F7" s="5" t="s">
        <v>8</v>
      </c>
      <c r="G7" s="3" t="s">
        <v>8</v>
      </c>
      <c r="H7" s="3" t="s">
        <v>53</v>
      </c>
      <c r="I7" s="1" t="s">
        <v>53</v>
      </c>
      <c r="J7" s="1" t="s">
        <v>8</v>
      </c>
    </row>
    <row r="8" spans="1:12" ht="15.75">
      <c r="A8" s="8">
        <v>1</v>
      </c>
      <c r="B8" s="13">
        <v>4</v>
      </c>
      <c r="C8" s="14">
        <v>1001</v>
      </c>
      <c r="D8" s="8" t="s">
        <v>655</v>
      </c>
      <c r="E8" s="4" t="s">
        <v>115</v>
      </c>
      <c r="F8">
        <v>10002</v>
      </c>
      <c r="G8" t="s">
        <v>116</v>
      </c>
      <c r="H8" s="4" t="b">
        <v>0</v>
      </c>
      <c r="I8" s="4" t="b">
        <v>0</v>
      </c>
      <c r="J8">
        <v>80</v>
      </c>
      <c r="L8" s="4"/>
    </row>
    <row r="9" spans="1:12" ht="15.75">
      <c r="A9" s="8">
        <v>2</v>
      </c>
      <c r="B9" s="13">
        <v>4</v>
      </c>
      <c r="C9" s="14">
        <v>1002</v>
      </c>
      <c r="D9" s="8" t="s">
        <v>656</v>
      </c>
      <c r="E9" s="4" t="s">
        <v>117</v>
      </c>
      <c r="F9">
        <v>10002</v>
      </c>
      <c r="G9" t="s">
        <v>116</v>
      </c>
      <c r="H9" s="4" t="b">
        <v>0</v>
      </c>
      <c r="I9" s="4" t="b">
        <v>0</v>
      </c>
      <c r="J9">
        <v>150</v>
      </c>
      <c r="L9" s="4"/>
    </row>
    <row r="10" spans="1:12" ht="15.75">
      <c r="A10" s="8">
        <v>3</v>
      </c>
      <c r="B10" s="13">
        <v>4</v>
      </c>
      <c r="C10" s="14">
        <v>1003</v>
      </c>
      <c r="D10" s="8" t="s">
        <v>657</v>
      </c>
      <c r="E10" s="4" t="s">
        <v>118</v>
      </c>
      <c r="F10">
        <v>10002</v>
      </c>
      <c r="G10" t="s">
        <v>119</v>
      </c>
      <c r="H10" s="4" t="b">
        <v>0</v>
      </c>
      <c r="I10" s="4" t="b">
        <v>0</v>
      </c>
      <c r="J10">
        <v>300</v>
      </c>
      <c r="L10" s="4"/>
    </row>
    <row r="11" spans="1:12" ht="15.75">
      <c r="A11" s="8">
        <v>4</v>
      </c>
      <c r="B11" s="13">
        <v>4</v>
      </c>
      <c r="C11" s="14">
        <v>1004</v>
      </c>
      <c r="D11" s="8" t="s">
        <v>658</v>
      </c>
      <c r="E11" s="4" t="s">
        <v>120</v>
      </c>
      <c r="F11">
        <v>10002</v>
      </c>
      <c r="G11" t="s">
        <v>121</v>
      </c>
      <c r="H11" s="4" t="b">
        <v>0</v>
      </c>
      <c r="I11" s="4" t="b">
        <v>0</v>
      </c>
      <c r="J11">
        <v>380</v>
      </c>
      <c r="L11" s="4"/>
    </row>
    <row r="12" spans="1:12" ht="15.75">
      <c r="A12" s="8">
        <v>5</v>
      </c>
      <c r="B12" s="13">
        <v>4</v>
      </c>
      <c r="C12" s="14">
        <v>1005</v>
      </c>
      <c r="D12" s="8" t="s">
        <v>659</v>
      </c>
      <c r="E12" s="4" t="s">
        <v>122</v>
      </c>
      <c r="F12">
        <v>10002</v>
      </c>
      <c r="G12" t="s">
        <v>121</v>
      </c>
      <c r="H12" s="4" t="b">
        <v>0</v>
      </c>
      <c r="I12" s="4" t="b">
        <v>0</v>
      </c>
      <c r="J12">
        <v>120</v>
      </c>
      <c r="L12" s="4"/>
    </row>
    <row r="13" spans="1:12" ht="15.75">
      <c r="A13" s="8">
        <v>6</v>
      </c>
      <c r="B13" s="13">
        <v>4</v>
      </c>
      <c r="C13" s="14">
        <v>1006</v>
      </c>
      <c r="D13" s="8" t="s">
        <v>660</v>
      </c>
      <c r="E13" s="4" t="s">
        <v>123</v>
      </c>
      <c r="F13">
        <v>10002</v>
      </c>
      <c r="G13" t="s">
        <v>121</v>
      </c>
      <c r="H13" s="4" t="b">
        <v>0</v>
      </c>
      <c r="I13" s="4" t="b">
        <v>0</v>
      </c>
      <c r="J13">
        <v>90</v>
      </c>
      <c r="L13" s="4"/>
    </row>
    <row r="14" spans="1:12" ht="15.75">
      <c r="A14" s="8">
        <v>7</v>
      </c>
      <c r="B14" s="13">
        <v>4</v>
      </c>
      <c r="C14" s="14">
        <v>1007</v>
      </c>
      <c r="D14" s="8" t="s">
        <v>661</v>
      </c>
      <c r="E14" s="4" t="s">
        <v>124</v>
      </c>
      <c r="F14">
        <v>10002</v>
      </c>
      <c r="G14" t="s">
        <v>125</v>
      </c>
      <c r="H14" s="4" t="b">
        <v>0</v>
      </c>
      <c r="I14" s="4" t="b">
        <v>0</v>
      </c>
      <c r="J14">
        <v>100</v>
      </c>
      <c r="L14" s="4"/>
    </row>
    <row r="15" spans="1:12" ht="15.75">
      <c r="A15" s="8">
        <v>8</v>
      </c>
      <c r="B15" s="13">
        <v>4</v>
      </c>
      <c r="C15" s="14">
        <v>1008</v>
      </c>
      <c r="D15" s="8" t="s">
        <v>1103</v>
      </c>
      <c r="E15" s="4" t="s">
        <v>124</v>
      </c>
      <c r="F15">
        <v>10002</v>
      </c>
      <c r="G15" t="s">
        <v>125</v>
      </c>
      <c r="H15" s="4" t="b">
        <v>0</v>
      </c>
      <c r="I15" s="4" t="b">
        <v>0</v>
      </c>
      <c r="J15">
        <v>390</v>
      </c>
      <c r="L15" s="4"/>
    </row>
    <row r="16" spans="1:12" ht="15.75">
      <c r="A16" s="8">
        <v>9</v>
      </c>
      <c r="B16" s="13">
        <v>4</v>
      </c>
      <c r="C16" s="14">
        <v>1009</v>
      </c>
      <c r="D16" s="8" t="s">
        <v>662</v>
      </c>
      <c r="E16" s="4" t="s">
        <v>126</v>
      </c>
      <c r="F16">
        <v>10002</v>
      </c>
      <c r="G16" t="s">
        <v>127</v>
      </c>
      <c r="H16" s="4" t="b">
        <v>0</v>
      </c>
      <c r="I16" s="4" t="b">
        <v>0</v>
      </c>
      <c r="J16">
        <v>110</v>
      </c>
      <c r="L16" s="4"/>
    </row>
    <row r="17" spans="1:12" ht="15.75">
      <c r="A17" s="8">
        <v>10</v>
      </c>
      <c r="B17" s="13">
        <v>4</v>
      </c>
      <c r="C17" s="14">
        <v>1010</v>
      </c>
      <c r="D17" s="8" t="s">
        <v>663</v>
      </c>
      <c r="E17" s="4" t="s">
        <v>128</v>
      </c>
      <c r="F17">
        <v>10002</v>
      </c>
      <c r="G17" t="s">
        <v>129</v>
      </c>
      <c r="H17" s="4" t="b">
        <v>0</v>
      </c>
      <c r="I17" s="4" t="b">
        <v>0</v>
      </c>
      <c r="J17">
        <v>130</v>
      </c>
      <c r="L17" s="4"/>
    </row>
    <row r="18" spans="1:12" ht="15.75">
      <c r="A18" s="8">
        <v>11</v>
      </c>
      <c r="B18" s="13">
        <v>4</v>
      </c>
      <c r="C18" s="14">
        <v>1011</v>
      </c>
      <c r="D18" s="8" t="s">
        <v>664</v>
      </c>
      <c r="E18" s="4" t="s">
        <v>130</v>
      </c>
      <c r="F18">
        <v>10002</v>
      </c>
      <c r="G18" t="s">
        <v>129</v>
      </c>
      <c r="H18" s="4" t="b">
        <v>0</v>
      </c>
      <c r="I18" s="4" t="b">
        <v>0</v>
      </c>
      <c r="J18">
        <v>440</v>
      </c>
      <c r="L18" s="4"/>
    </row>
    <row r="19" spans="1:12" ht="15.75">
      <c r="A19" s="8">
        <v>12</v>
      </c>
      <c r="B19" s="13">
        <v>4</v>
      </c>
      <c r="C19" s="14">
        <v>1013</v>
      </c>
      <c r="D19" s="8" t="s">
        <v>665</v>
      </c>
      <c r="E19" s="4" t="s">
        <v>131</v>
      </c>
      <c r="F19">
        <v>10002</v>
      </c>
      <c r="G19" t="s">
        <v>132</v>
      </c>
      <c r="H19" s="4" t="b">
        <v>0</v>
      </c>
      <c r="I19" s="4" t="b">
        <v>0</v>
      </c>
      <c r="J19">
        <v>240</v>
      </c>
      <c r="L19" s="4"/>
    </row>
    <row r="20" spans="1:12" ht="15.75">
      <c r="A20" s="8">
        <v>13</v>
      </c>
      <c r="B20" s="13">
        <v>4</v>
      </c>
      <c r="C20" s="14">
        <v>1014</v>
      </c>
      <c r="D20" s="8" t="s">
        <v>666</v>
      </c>
      <c r="E20" s="4" t="s">
        <v>133</v>
      </c>
      <c r="F20">
        <v>10002</v>
      </c>
      <c r="G20" t="s">
        <v>134</v>
      </c>
      <c r="H20" s="4" t="b">
        <v>0</v>
      </c>
      <c r="I20" s="4" t="b">
        <v>0</v>
      </c>
      <c r="J20">
        <v>290</v>
      </c>
      <c r="L20" s="4"/>
    </row>
    <row r="21" spans="1:12" ht="15.75">
      <c r="A21" s="8">
        <v>14</v>
      </c>
      <c r="B21" s="13">
        <v>4</v>
      </c>
      <c r="C21" s="14">
        <v>1015</v>
      </c>
      <c r="D21" s="8" t="s">
        <v>667</v>
      </c>
      <c r="E21" s="4" t="s">
        <v>135</v>
      </c>
      <c r="F21">
        <v>10002</v>
      </c>
      <c r="G21" t="s">
        <v>136</v>
      </c>
      <c r="H21" s="4" t="b">
        <v>0</v>
      </c>
      <c r="I21" s="4" t="b">
        <v>0</v>
      </c>
      <c r="J21">
        <v>270</v>
      </c>
      <c r="L21" s="4"/>
    </row>
    <row r="22" spans="1:12" ht="15.75">
      <c r="A22" s="8">
        <v>15</v>
      </c>
      <c r="B22" s="13">
        <v>4</v>
      </c>
      <c r="C22" s="14">
        <v>1016</v>
      </c>
      <c r="D22" s="8" t="s">
        <v>668</v>
      </c>
      <c r="E22" s="4" t="s">
        <v>137</v>
      </c>
      <c r="F22">
        <v>10002</v>
      </c>
      <c r="G22" t="s">
        <v>138</v>
      </c>
      <c r="H22" s="4" t="b">
        <v>0</v>
      </c>
      <c r="I22" s="4" t="b">
        <v>0</v>
      </c>
      <c r="J22">
        <v>230</v>
      </c>
      <c r="L22" s="4"/>
    </row>
    <row r="23" spans="1:12" ht="15.75">
      <c r="A23" s="8">
        <v>16</v>
      </c>
      <c r="B23" s="13">
        <v>4</v>
      </c>
      <c r="C23" s="14">
        <v>1020</v>
      </c>
      <c r="D23" s="8" t="s">
        <v>669</v>
      </c>
      <c r="E23" s="4" t="s">
        <v>140</v>
      </c>
      <c r="F23">
        <v>10002</v>
      </c>
      <c r="G23" t="s">
        <v>141</v>
      </c>
      <c r="H23" s="4" t="b">
        <v>0</v>
      </c>
      <c r="I23" s="4" t="b">
        <v>0</v>
      </c>
      <c r="J23">
        <v>10</v>
      </c>
      <c r="L23" s="4"/>
    </row>
    <row r="24" spans="1:12" ht="15.75">
      <c r="A24" s="8">
        <v>17</v>
      </c>
      <c r="B24" s="13">
        <v>4</v>
      </c>
      <c r="C24" s="14">
        <v>1021</v>
      </c>
      <c r="D24" s="8" t="s">
        <v>670</v>
      </c>
      <c r="E24" s="4" t="s">
        <v>142</v>
      </c>
      <c r="F24">
        <v>10002</v>
      </c>
      <c r="G24" t="s">
        <v>141</v>
      </c>
      <c r="H24" s="4" t="b">
        <v>0</v>
      </c>
      <c r="I24" s="4" t="b">
        <v>0</v>
      </c>
      <c r="J24">
        <v>400</v>
      </c>
      <c r="L24" s="4"/>
    </row>
    <row r="25" spans="1:12" ht="15.75">
      <c r="A25" s="8">
        <v>18</v>
      </c>
      <c r="B25" s="13">
        <v>4</v>
      </c>
      <c r="C25" s="14">
        <v>1022</v>
      </c>
      <c r="D25" s="8" t="s">
        <v>671</v>
      </c>
      <c r="E25" s="4" t="s">
        <v>143</v>
      </c>
      <c r="F25">
        <v>10002</v>
      </c>
      <c r="G25" t="s">
        <v>144</v>
      </c>
      <c r="H25" s="4" t="b">
        <v>0</v>
      </c>
      <c r="I25" s="4" t="b">
        <v>0</v>
      </c>
      <c r="J25">
        <v>260</v>
      </c>
      <c r="L25" s="4"/>
    </row>
    <row r="26" spans="1:12" ht="15.75">
      <c r="A26" s="8">
        <v>19</v>
      </c>
      <c r="B26" s="13">
        <v>4</v>
      </c>
      <c r="C26" s="14">
        <v>1023</v>
      </c>
      <c r="D26" s="8" t="s">
        <v>672</v>
      </c>
      <c r="E26" s="4" t="s">
        <v>145</v>
      </c>
      <c r="F26">
        <v>10002</v>
      </c>
      <c r="G26" t="s">
        <v>146</v>
      </c>
      <c r="H26" s="4" t="b">
        <v>0</v>
      </c>
      <c r="I26" s="4" t="b">
        <v>0</v>
      </c>
      <c r="J26">
        <v>160</v>
      </c>
      <c r="L26" s="4"/>
    </row>
    <row r="27" spans="1:12" ht="15.75">
      <c r="A27" s="8">
        <v>20</v>
      </c>
      <c r="B27" s="13">
        <v>4</v>
      </c>
      <c r="C27" s="14">
        <v>1024</v>
      </c>
      <c r="D27" s="8" t="s">
        <v>673</v>
      </c>
      <c r="E27" s="4" t="s">
        <v>147</v>
      </c>
      <c r="F27">
        <v>10002</v>
      </c>
      <c r="G27" t="s">
        <v>148</v>
      </c>
      <c r="H27" s="4" t="b">
        <v>0</v>
      </c>
      <c r="I27" s="4" t="b">
        <v>0</v>
      </c>
      <c r="J27">
        <v>170</v>
      </c>
      <c r="L27" s="4"/>
    </row>
    <row r="28" spans="1:12" ht="15.75">
      <c r="A28" s="8">
        <v>21</v>
      </c>
      <c r="B28" s="13">
        <v>4</v>
      </c>
      <c r="C28" s="14">
        <v>1025</v>
      </c>
      <c r="D28" s="8" t="s">
        <v>674</v>
      </c>
      <c r="E28" s="4" t="s">
        <v>149</v>
      </c>
      <c r="F28">
        <v>10002</v>
      </c>
      <c r="G28" t="s">
        <v>150</v>
      </c>
      <c r="H28" s="4" t="b">
        <v>0</v>
      </c>
      <c r="I28" s="4" t="b">
        <v>0</v>
      </c>
      <c r="J28">
        <v>20</v>
      </c>
      <c r="L28" s="4"/>
    </row>
    <row r="29" spans="1:12" ht="15.75">
      <c r="A29" s="8">
        <v>22</v>
      </c>
      <c r="B29" s="13">
        <v>4</v>
      </c>
      <c r="C29" s="14">
        <v>1026</v>
      </c>
      <c r="D29" s="8" t="s">
        <v>675</v>
      </c>
      <c r="E29" s="4" t="s">
        <v>151</v>
      </c>
      <c r="F29">
        <v>10002</v>
      </c>
      <c r="G29" t="s">
        <v>150</v>
      </c>
      <c r="H29" s="4" t="b">
        <v>0</v>
      </c>
      <c r="I29" s="4" t="b">
        <v>0</v>
      </c>
      <c r="J29">
        <v>530</v>
      </c>
      <c r="L29" s="4"/>
    </row>
    <row r="30" spans="1:12" ht="15.75">
      <c r="A30" s="8">
        <v>23</v>
      </c>
      <c r="B30" s="13">
        <v>4</v>
      </c>
      <c r="C30" s="14">
        <v>1027</v>
      </c>
      <c r="D30" s="8" t="s">
        <v>676</v>
      </c>
      <c r="E30" s="4" t="s">
        <v>152</v>
      </c>
      <c r="F30">
        <v>10002</v>
      </c>
      <c r="G30" t="s">
        <v>153</v>
      </c>
      <c r="H30" s="4" t="b">
        <v>0</v>
      </c>
      <c r="I30" s="4" t="b">
        <v>0</v>
      </c>
      <c r="J30">
        <v>570</v>
      </c>
      <c r="L30" s="4"/>
    </row>
    <row r="31" spans="1:12" ht="15.75">
      <c r="A31" s="8">
        <v>24</v>
      </c>
      <c r="B31" s="13">
        <v>4</v>
      </c>
      <c r="C31" s="14">
        <v>1028</v>
      </c>
      <c r="D31" s="8" t="s">
        <v>677</v>
      </c>
      <c r="E31" s="4" t="s">
        <v>154</v>
      </c>
      <c r="F31">
        <v>10002</v>
      </c>
      <c r="G31" t="s">
        <v>155</v>
      </c>
      <c r="H31" s="4" t="b">
        <v>0</v>
      </c>
      <c r="I31" s="4" t="b">
        <v>0</v>
      </c>
      <c r="J31">
        <v>580</v>
      </c>
      <c r="L31" s="4"/>
    </row>
    <row r="32" spans="1:12" ht="15.75">
      <c r="A32" s="8">
        <v>25</v>
      </c>
      <c r="B32" s="13">
        <v>4</v>
      </c>
      <c r="C32" s="14">
        <v>1029</v>
      </c>
      <c r="D32" s="8" t="s">
        <v>678</v>
      </c>
      <c r="E32" s="4" t="s">
        <v>156</v>
      </c>
      <c r="F32">
        <v>10002</v>
      </c>
      <c r="G32" t="s">
        <v>157</v>
      </c>
      <c r="H32" s="4" t="b">
        <v>0</v>
      </c>
      <c r="I32" s="4" t="b">
        <v>0</v>
      </c>
      <c r="J32">
        <v>510</v>
      </c>
      <c r="L32" s="4"/>
    </row>
    <row r="33" spans="1:12" ht="15.75">
      <c r="A33" s="8">
        <v>26</v>
      </c>
      <c r="B33" s="13">
        <v>4</v>
      </c>
      <c r="C33" s="14">
        <v>1030</v>
      </c>
      <c r="D33" s="8" t="s">
        <v>679</v>
      </c>
      <c r="E33" s="4" t="s">
        <v>158</v>
      </c>
      <c r="F33">
        <v>10002</v>
      </c>
      <c r="G33" t="s">
        <v>159</v>
      </c>
      <c r="H33" s="4" t="b">
        <v>0</v>
      </c>
      <c r="I33" s="4" t="b">
        <v>0</v>
      </c>
      <c r="J33">
        <v>540</v>
      </c>
      <c r="L33" s="4"/>
    </row>
    <row r="34" spans="1:12" ht="15.75">
      <c r="A34" s="8">
        <v>27</v>
      </c>
      <c r="B34" s="13">
        <v>4</v>
      </c>
      <c r="C34" s="14">
        <v>1031</v>
      </c>
      <c r="D34" s="8" t="s">
        <v>680</v>
      </c>
      <c r="E34" s="4" t="s">
        <v>160</v>
      </c>
      <c r="F34">
        <v>10002</v>
      </c>
      <c r="G34" t="s">
        <v>161</v>
      </c>
      <c r="H34" s="4" t="b">
        <v>0</v>
      </c>
      <c r="I34" s="4" t="b">
        <v>0</v>
      </c>
      <c r="J34">
        <v>330</v>
      </c>
      <c r="L34" s="4"/>
    </row>
    <row r="35" spans="1:12" ht="15.75">
      <c r="A35" s="8">
        <v>28</v>
      </c>
      <c r="B35" s="13">
        <v>4</v>
      </c>
      <c r="C35" s="14">
        <v>1033</v>
      </c>
      <c r="D35" s="8" t="s">
        <v>681</v>
      </c>
      <c r="E35" s="4" t="s">
        <v>162</v>
      </c>
      <c r="F35">
        <v>10002</v>
      </c>
      <c r="G35" t="s">
        <v>163</v>
      </c>
      <c r="H35" s="4" t="b">
        <v>0</v>
      </c>
      <c r="I35" s="4" t="b">
        <v>0</v>
      </c>
      <c r="J35">
        <v>590</v>
      </c>
      <c r="L35" s="4"/>
    </row>
    <row r="36" spans="1:12" ht="15.75">
      <c r="A36" s="8">
        <v>29</v>
      </c>
      <c r="B36" s="13">
        <v>4</v>
      </c>
      <c r="C36" s="14">
        <v>1034</v>
      </c>
      <c r="D36" s="8" t="s">
        <v>682</v>
      </c>
      <c r="E36" s="4" t="s">
        <v>164</v>
      </c>
      <c r="F36">
        <v>10002</v>
      </c>
      <c r="G36" t="s">
        <v>165</v>
      </c>
      <c r="H36" s="4" t="b">
        <v>0</v>
      </c>
      <c r="I36" s="4" t="b">
        <v>0</v>
      </c>
      <c r="J36">
        <v>610</v>
      </c>
      <c r="L36" s="4"/>
    </row>
    <row r="37" spans="1:12" ht="15.75">
      <c r="A37" s="8">
        <v>30</v>
      </c>
      <c r="B37" s="13">
        <v>4</v>
      </c>
      <c r="C37" s="14">
        <v>1035</v>
      </c>
      <c r="D37" s="8" t="s">
        <v>683</v>
      </c>
      <c r="E37" s="4" t="s">
        <v>166</v>
      </c>
      <c r="F37">
        <v>10002</v>
      </c>
      <c r="G37" t="s">
        <v>167</v>
      </c>
      <c r="H37" s="4" t="b">
        <v>0</v>
      </c>
      <c r="I37" s="4" t="b">
        <v>0</v>
      </c>
      <c r="J37">
        <v>600</v>
      </c>
      <c r="L37" s="4"/>
    </row>
    <row r="38" spans="1:12" ht="15.75">
      <c r="A38" s="8">
        <v>31</v>
      </c>
      <c r="B38" s="13">
        <v>3</v>
      </c>
      <c r="C38" s="14">
        <v>1036</v>
      </c>
      <c r="D38" s="8" t="s">
        <v>684</v>
      </c>
      <c r="E38" s="4" t="s">
        <v>168</v>
      </c>
      <c r="F38">
        <v>10002</v>
      </c>
      <c r="G38" t="s">
        <v>169</v>
      </c>
      <c r="H38" s="4" t="b">
        <v>0</v>
      </c>
      <c r="I38" s="4" t="b">
        <v>0</v>
      </c>
      <c r="J38">
        <v>70</v>
      </c>
      <c r="L38" s="4"/>
    </row>
    <row r="39" spans="1:12" ht="15.75">
      <c r="A39" s="8">
        <v>32</v>
      </c>
      <c r="B39" s="13">
        <v>3</v>
      </c>
      <c r="C39" s="14">
        <v>1037</v>
      </c>
      <c r="D39" s="8" t="s">
        <v>685</v>
      </c>
      <c r="E39" s="4" t="s">
        <v>170</v>
      </c>
      <c r="F39">
        <v>10002</v>
      </c>
      <c r="G39" t="s">
        <v>171</v>
      </c>
      <c r="H39" s="4" t="b">
        <v>0</v>
      </c>
      <c r="I39" s="4" t="b">
        <v>0</v>
      </c>
      <c r="J39">
        <v>280</v>
      </c>
      <c r="L39" s="4"/>
    </row>
    <row r="40" spans="1:12" ht="15.75">
      <c r="A40" s="8">
        <v>33</v>
      </c>
      <c r="B40" s="13">
        <v>3</v>
      </c>
      <c r="C40" s="14">
        <v>1038</v>
      </c>
      <c r="D40" s="8" t="s">
        <v>686</v>
      </c>
      <c r="E40" s="4" t="s">
        <v>172</v>
      </c>
      <c r="F40">
        <v>10002</v>
      </c>
      <c r="G40" t="s">
        <v>173</v>
      </c>
      <c r="H40" s="4" t="b">
        <v>0</v>
      </c>
      <c r="I40" s="4" t="b">
        <v>0</v>
      </c>
      <c r="J40">
        <v>560</v>
      </c>
      <c r="L40" s="4"/>
    </row>
    <row r="41" spans="1:12" ht="15.75">
      <c r="A41" s="8">
        <v>34</v>
      </c>
      <c r="B41" s="13">
        <v>3</v>
      </c>
      <c r="C41" s="14">
        <v>1039</v>
      </c>
      <c r="D41" s="8" t="s">
        <v>687</v>
      </c>
      <c r="E41" s="4" t="s">
        <v>174</v>
      </c>
      <c r="F41">
        <v>10002</v>
      </c>
      <c r="G41" t="s">
        <v>175</v>
      </c>
      <c r="H41" s="4" t="b">
        <v>0</v>
      </c>
      <c r="I41" s="4" t="b">
        <v>0</v>
      </c>
      <c r="J41">
        <v>220</v>
      </c>
      <c r="L41" s="4"/>
    </row>
    <row r="42" spans="1:12" ht="15.75">
      <c r="A42" s="8">
        <v>35</v>
      </c>
      <c r="B42" s="13">
        <v>3</v>
      </c>
      <c r="C42" s="14">
        <v>1041</v>
      </c>
      <c r="D42" s="8" t="s">
        <v>688</v>
      </c>
      <c r="E42" s="4" t="s">
        <v>176</v>
      </c>
      <c r="F42">
        <v>10002</v>
      </c>
      <c r="G42" t="s">
        <v>177</v>
      </c>
      <c r="H42" s="4" t="b">
        <v>0</v>
      </c>
      <c r="I42" s="4" t="b">
        <v>0</v>
      </c>
      <c r="J42">
        <v>630</v>
      </c>
      <c r="L42" s="4"/>
    </row>
    <row r="43" spans="1:12" ht="15.75">
      <c r="A43" s="8">
        <v>36</v>
      </c>
      <c r="B43" s="13">
        <v>2</v>
      </c>
      <c r="C43" s="14">
        <v>1050</v>
      </c>
      <c r="D43" s="8" t="s">
        <v>689</v>
      </c>
      <c r="E43" s="4" t="s">
        <v>178</v>
      </c>
      <c r="F43">
        <v>10002</v>
      </c>
      <c r="G43" t="s">
        <v>179</v>
      </c>
      <c r="H43" s="4" t="b">
        <v>1</v>
      </c>
      <c r="I43" s="4" t="b">
        <v>1</v>
      </c>
      <c r="J43">
        <v>1</v>
      </c>
      <c r="L43" s="4"/>
    </row>
    <row r="44" spans="1:12" ht="15.75">
      <c r="A44" s="8">
        <v>37</v>
      </c>
      <c r="B44" s="13">
        <v>2</v>
      </c>
      <c r="C44" s="14">
        <v>1051</v>
      </c>
      <c r="D44" s="8" t="s">
        <v>690</v>
      </c>
      <c r="E44" s="4" t="s">
        <v>180</v>
      </c>
      <c r="F44">
        <v>10002</v>
      </c>
      <c r="G44" t="s">
        <v>181</v>
      </c>
      <c r="H44" s="4" t="b">
        <v>1</v>
      </c>
      <c r="I44" s="4" t="b">
        <v>1</v>
      </c>
      <c r="J44">
        <v>2</v>
      </c>
      <c r="L44" s="4"/>
    </row>
    <row r="45" spans="1:12" ht="15.75">
      <c r="A45" s="8">
        <v>38</v>
      </c>
      <c r="B45" s="13">
        <v>2</v>
      </c>
      <c r="C45" s="14">
        <v>1042</v>
      </c>
      <c r="D45" s="8" t="s">
        <v>691</v>
      </c>
      <c r="E45" s="4" t="s">
        <v>182</v>
      </c>
      <c r="F45">
        <v>10002</v>
      </c>
      <c r="G45" t="s">
        <v>183</v>
      </c>
      <c r="H45" s="4" t="b">
        <v>0</v>
      </c>
      <c r="I45" s="4" t="b">
        <v>0</v>
      </c>
      <c r="J45">
        <v>140</v>
      </c>
      <c r="L45" s="4"/>
    </row>
    <row r="46" spans="1:12" ht="15.75">
      <c r="A46" s="8">
        <v>39</v>
      </c>
      <c r="B46" s="13">
        <v>2</v>
      </c>
      <c r="C46" s="14">
        <v>1043</v>
      </c>
      <c r="D46" s="8" t="s">
        <v>692</v>
      </c>
      <c r="E46" s="4" t="s">
        <v>184</v>
      </c>
      <c r="F46">
        <v>10002</v>
      </c>
      <c r="G46" t="s">
        <v>139</v>
      </c>
      <c r="H46" s="4" t="b">
        <v>0</v>
      </c>
      <c r="I46" s="4" t="b">
        <v>0</v>
      </c>
      <c r="J46">
        <v>310</v>
      </c>
      <c r="L46" s="4"/>
    </row>
    <row r="47" spans="1:12" ht="15.75">
      <c r="A47" s="8">
        <v>40</v>
      </c>
      <c r="B47" s="13">
        <v>2</v>
      </c>
      <c r="C47" s="14">
        <v>1044</v>
      </c>
      <c r="D47" s="8" t="s">
        <v>693</v>
      </c>
      <c r="E47" s="4" t="s">
        <v>185</v>
      </c>
      <c r="F47">
        <v>10002</v>
      </c>
      <c r="G47" t="s">
        <v>186</v>
      </c>
      <c r="H47" s="4" t="b">
        <v>0</v>
      </c>
      <c r="I47" s="4" t="b">
        <v>0</v>
      </c>
      <c r="J47">
        <v>620</v>
      </c>
      <c r="L47" s="4"/>
    </row>
    <row r="48" spans="1:12" ht="15.75">
      <c r="A48" s="8">
        <v>41</v>
      </c>
      <c r="B48" s="13">
        <v>2</v>
      </c>
      <c r="C48" s="14">
        <v>1045</v>
      </c>
      <c r="D48" s="8" t="s">
        <v>694</v>
      </c>
      <c r="E48" s="4" t="s">
        <v>187</v>
      </c>
      <c r="F48">
        <v>10002</v>
      </c>
      <c r="G48" t="s">
        <v>188</v>
      </c>
      <c r="H48" s="4" t="b">
        <v>0</v>
      </c>
      <c r="I48" s="4" t="b">
        <v>0</v>
      </c>
      <c r="J48">
        <v>190</v>
      </c>
      <c r="L48" s="4"/>
    </row>
    <row r="49" spans="1:13" ht="15.75">
      <c r="A49" s="8">
        <v>42</v>
      </c>
      <c r="B49" s="13">
        <v>2</v>
      </c>
      <c r="C49" s="14">
        <v>1046</v>
      </c>
      <c r="D49" s="8" t="s">
        <v>695</v>
      </c>
      <c r="E49" s="4" t="s">
        <v>189</v>
      </c>
      <c r="F49">
        <v>10002</v>
      </c>
      <c r="G49" t="s">
        <v>190</v>
      </c>
      <c r="H49" s="4" t="b">
        <v>0</v>
      </c>
      <c r="I49" s="4" t="b">
        <v>0</v>
      </c>
      <c r="J49">
        <v>410</v>
      </c>
      <c r="L49" s="4"/>
    </row>
    <row r="50" spans="1:13" ht="15.75">
      <c r="A50" s="8">
        <v>43</v>
      </c>
      <c r="B50" s="13">
        <v>2</v>
      </c>
      <c r="C50" s="14">
        <v>1047</v>
      </c>
      <c r="D50" s="8" t="s">
        <v>696</v>
      </c>
      <c r="E50" s="4" t="s">
        <v>191</v>
      </c>
      <c r="F50">
        <v>10002</v>
      </c>
      <c r="G50" t="s">
        <v>192</v>
      </c>
      <c r="H50" s="4" t="b">
        <v>0</v>
      </c>
      <c r="I50" s="4" t="b">
        <v>0</v>
      </c>
      <c r="J50">
        <v>430</v>
      </c>
      <c r="L50" s="4"/>
    </row>
    <row r="51" spans="1:13" ht="15.75">
      <c r="A51" s="8">
        <v>44</v>
      </c>
      <c r="B51" s="13">
        <v>2</v>
      </c>
      <c r="C51" s="14">
        <v>1048</v>
      </c>
      <c r="D51" s="8" t="s">
        <v>697</v>
      </c>
      <c r="E51" s="4" t="s">
        <v>193</v>
      </c>
      <c r="F51">
        <v>10002</v>
      </c>
      <c r="G51" t="s">
        <v>194</v>
      </c>
      <c r="H51" s="4" t="b">
        <v>0</v>
      </c>
      <c r="I51" s="4" t="b">
        <v>0</v>
      </c>
      <c r="J51">
        <v>450</v>
      </c>
      <c r="L51" s="4"/>
    </row>
    <row r="52" spans="1:13" ht="15.75">
      <c r="A52" s="8">
        <v>45</v>
      </c>
      <c r="B52" s="13">
        <v>2</v>
      </c>
      <c r="C52" s="14">
        <v>1049</v>
      </c>
      <c r="D52" s="8" t="s">
        <v>698</v>
      </c>
      <c r="E52" s="4" t="s">
        <v>195</v>
      </c>
      <c r="F52">
        <v>10002</v>
      </c>
      <c r="G52" t="s">
        <v>196</v>
      </c>
      <c r="H52" s="4" t="b">
        <v>1</v>
      </c>
      <c r="I52" s="4" t="b">
        <v>0</v>
      </c>
      <c r="J52">
        <v>3</v>
      </c>
      <c r="L52" s="4"/>
    </row>
    <row r="53" spans="1:13" ht="15.75">
      <c r="A53" s="8">
        <v>46</v>
      </c>
      <c r="B53" s="13">
        <v>2</v>
      </c>
      <c r="C53" s="14">
        <v>1052</v>
      </c>
      <c r="D53" s="8" t="s">
        <v>699</v>
      </c>
      <c r="E53" s="4" t="s">
        <v>197</v>
      </c>
      <c r="F53">
        <v>10002</v>
      </c>
      <c r="G53" t="s">
        <v>198</v>
      </c>
      <c r="H53" s="4" t="b">
        <v>0</v>
      </c>
      <c r="I53" s="4" t="b">
        <v>0</v>
      </c>
      <c r="J53">
        <v>810</v>
      </c>
      <c r="L53" s="4"/>
    </row>
    <row r="54" spans="1:13" ht="15.75">
      <c r="A54" s="8">
        <v>47</v>
      </c>
      <c r="B54" s="13">
        <v>3</v>
      </c>
      <c r="C54" s="14">
        <v>1055</v>
      </c>
      <c r="D54" s="8" t="s">
        <v>700</v>
      </c>
      <c r="E54" s="4" t="s">
        <v>199</v>
      </c>
      <c r="F54">
        <v>10002</v>
      </c>
      <c r="G54" t="s">
        <v>200</v>
      </c>
      <c r="H54" s="4" t="b">
        <v>0</v>
      </c>
      <c r="I54" s="4" t="b">
        <v>0</v>
      </c>
      <c r="J54">
        <v>340</v>
      </c>
      <c r="L54" s="4"/>
      <c r="M54" s="15"/>
    </row>
    <row r="55" spans="1:13" ht="15.75">
      <c r="A55" s="8">
        <v>48</v>
      </c>
      <c r="B55" s="13">
        <v>3</v>
      </c>
      <c r="C55" s="14">
        <v>1064</v>
      </c>
      <c r="D55" s="8" t="s">
        <v>701</v>
      </c>
      <c r="E55" s="4" t="s">
        <v>201</v>
      </c>
      <c r="F55">
        <v>10002</v>
      </c>
      <c r="G55" t="s">
        <v>202</v>
      </c>
      <c r="H55" s="4" t="b">
        <v>0</v>
      </c>
      <c r="I55" s="4" t="b">
        <v>0</v>
      </c>
      <c r="J55">
        <v>30</v>
      </c>
      <c r="L55" s="4"/>
      <c r="M55" s="15"/>
    </row>
    <row r="56" spans="1:13" ht="15.75">
      <c r="A56" s="8">
        <v>49</v>
      </c>
      <c r="B56" s="13">
        <v>3</v>
      </c>
      <c r="C56" s="14">
        <v>1053</v>
      </c>
      <c r="D56" s="8" t="s">
        <v>702</v>
      </c>
      <c r="E56" s="4" t="s">
        <v>203</v>
      </c>
      <c r="F56">
        <v>10002</v>
      </c>
      <c r="G56" t="s">
        <v>204</v>
      </c>
      <c r="H56" s="4" t="b">
        <v>0</v>
      </c>
      <c r="I56" s="4" t="b">
        <v>0</v>
      </c>
      <c r="J56">
        <v>490</v>
      </c>
      <c r="L56" s="4"/>
    </row>
    <row r="57" spans="1:13" ht="15.75">
      <c r="A57" s="8">
        <v>50</v>
      </c>
      <c r="B57" s="13">
        <v>3</v>
      </c>
      <c r="C57" s="14">
        <v>1054</v>
      </c>
      <c r="D57" s="8" t="s">
        <v>703</v>
      </c>
      <c r="E57" s="4" t="s">
        <v>205</v>
      </c>
      <c r="F57">
        <v>10002</v>
      </c>
      <c r="G57" t="s">
        <v>206</v>
      </c>
      <c r="H57" s="4" t="b">
        <v>0</v>
      </c>
      <c r="I57" s="4" t="b">
        <v>0</v>
      </c>
      <c r="J57">
        <v>500</v>
      </c>
      <c r="L57" s="4"/>
    </row>
    <row r="58" spans="1:13" ht="15.75">
      <c r="A58" s="8">
        <v>51</v>
      </c>
      <c r="B58" s="13">
        <v>3</v>
      </c>
      <c r="C58" s="14">
        <v>1056</v>
      </c>
      <c r="D58" s="8" t="s">
        <v>704</v>
      </c>
      <c r="E58" s="4" t="s">
        <v>207</v>
      </c>
      <c r="F58">
        <v>10002</v>
      </c>
      <c r="G58" t="s">
        <v>208</v>
      </c>
      <c r="H58" s="4" t="b">
        <v>0</v>
      </c>
      <c r="I58" s="4" t="b">
        <v>0</v>
      </c>
      <c r="J58">
        <v>670</v>
      </c>
      <c r="L58" s="4"/>
    </row>
    <row r="59" spans="1:13" ht="15.75">
      <c r="A59" s="8">
        <v>52</v>
      </c>
      <c r="B59" s="13">
        <v>3</v>
      </c>
      <c r="C59" s="14">
        <v>1057</v>
      </c>
      <c r="D59" s="8" t="s">
        <v>705</v>
      </c>
      <c r="E59" s="4" t="s">
        <v>209</v>
      </c>
      <c r="F59">
        <v>10002</v>
      </c>
      <c r="G59" t="s">
        <v>210</v>
      </c>
      <c r="H59" s="4" t="b">
        <v>0</v>
      </c>
      <c r="I59" s="4" t="b">
        <v>0</v>
      </c>
      <c r="J59">
        <v>840</v>
      </c>
      <c r="L59" s="4"/>
    </row>
    <row r="60" spans="1:13" ht="15.75">
      <c r="A60" s="8">
        <v>53</v>
      </c>
      <c r="B60" s="13">
        <v>3</v>
      </c>
      <c r="C60" s="14">
        <v>1058</v>
      </c>
      <c r="D60" s="8" t="s">
        <v>706</v>
      </c>
      <c r="E60" s="4" t="s">
        <v>211</v>
      </c>
      <c r="F60">
        <v>10002</v>
      </c>
      <c r="G60" t="s">
        <v>212</v>
      </c>
      <c r="H60" s="4" t="b">
        <v>0</v>
      </c>
      <c r="I60" s="4" t="b">
        <v>0</v>
      </c>
      <c r="J60">
        <v>520</v>
      </c>
      <c r="L60" s="4"/>
    </row>
    <row r="61" spans="1:13" ht="15.75">
      <c r="A61" s="8">
        <v>54</v>
      </c>
      <c r="B61" s="13">
        <v>2</v>
      </c>
      <c r="C61" s="15">
        <v>1070</v>
      </c>
      <c r="D61" s="8" t="s">
        <v>707</v>
      </c>
      <c r="E61" s="4" t="s">
        <v>213</v>
      </c>
      <c r="F61">
        <v>10002</v>
      </c>
      <c r="G61" t="s">
        <v>214</v>
      </c>
      <c r="H61" s="4" t="b">
        <v>1</v>
      </c>
      <c r="I61" s="4" t="b">
        <v>0</v>
      </c>
      <c r="J61">
        <v>4</v>
      </c>
      <c r="L61" s="4"/>
    </row>
    <row r="62" spans="1:13" ht="15.75">
      <c r="A62" s="8">
        <v>55</v>
      </c>
      <c r="B62" s="13">
        <v>3</v>
      </c>
      <c r="C62" s="15">
        <v>1071</v>
      </c>
      <c r="D62" s="8" t="s">
        <v>708</v>
      </c>
      <c r="E62" s="4" t="s">
        <v>215</v>
      </c>
      <c r="F62">
        <v>10002</v>
      </c>
      <c r="G62" t="s">
        <v>216</v>
      </c>
      <c r="H62" s="4" t="b">
        <v>0</v>
      </c>
      <c r="I62" s="4" t="b">
        <v>0</v>
      </c>
      <c r="J62">
        <v>860</v>
      </c>
      <c r="L62" s="4"/>
    </row>
    <row r="63" spans="1:13" ht="15.75">
      <c r="A63" s="8">
        <v>56</v>
      </c>
      <c r="B63" s="13">
        <v>3</v>
      </c>
      <c r="C63" s="15">
        <v>1073</v>
      </c>
      <c r="D63" s="8" t="s">
        <v>709</v>
      </c>
      <c r="E63" s="4" t="s">
        <v>217</v>
      </c>
      <c r="F63">
        <v>10002</v>
      </c>
      <c r="G63" t="s">
        <v>218</v>
      </c>
      <c r="H63" s="4" t="b">
        <v>0</v>
      </c>
      <c r="I63" s="4" t="b">
        <v>0</v>
      </c>
      <c r="J63">
        <v>820</v>
      </c>
      <c r="L63" s="4"/>
    </row>
    <row r="64" spans="1:13" ht="15.75">
      <c r="A64" s="8">
        <v>57</v>
      </c>
      <c r="B64" s="13">
        <v>3</v>
      </c>
      <c r="C64" s="15">
        <v>1074</v>
      </c>
      <c r="D64" s="8" t="s">
        <v>710</v>
      </c>
      <c r="E64" s="4" t="s">
        <v>219</v>
      </c>
      <c r="F64">
        <v>10002</v>
      </c>
      <c r="G64" t="s">
        <v>220</v>
      </c>
      <c r="H64" s="4" t="b">
        <v>0</v>
      </c>
      <c r="I64" s="4" t="b">
        <v>0</v>
      </c>
      <c r="J64">
        <v>780</v>
      </c>
      <c r="L64" s="4"/>
    </row>
    <row r="65" spans="1:12" ht="15.75">
      <c r="A65" s="8">
        <v>58</v>
      </c>
      <c r="B65" s="13">
        <v>3</v>
      </c>
      <c r="C65" s="15">
        <v>1075</v>
      </c>
      <c r="D65" s="8" t="s">
        <v>711</v>
      </c>
      <c r="E65" s="4" t="s">
        <v>221</v>
      </c>
      <c r="F65">
        <v>10002</v>
      </c>
      <c r="G65" t="s">
        <v>222</v>
      </c>
      <c r="H65" s="4" t="b">
        <v>0</v>
      </c>
      <c r="I65" s="4" t="b">
        <v>0</v>
      </c>
      <c r="J65">
        <v>870</v>
      </c>
      <c r="L65" s="4"/>
    </row>
    <row r="66" spans="1:12" ht="15.75">
      <c r="A66" s="8">
        <v>59</v>
      </c>
      <c r="B66" s="13">
        <v>3</v>
      </c>
      <c r="C66" s="15">
        <v>1076</v>
      </c>
      <c r="D66" s="8" t="s">
        <v>712</v>
      </c>
      <c r="E66" s="4" t="s">
        <v>223</v>
      </c>
      <c r="F66">
        <v>10002</v>
      </c>
      <c r="G66" t="s">
        <v>224</v>
      </c>
      <c r="H66" s="4" t="b">
        <v>0</v>
      </c>
      <c r="I66" s="4" t="b">
        <v>0</v>
      </c>
      <c r="J66">
        <v>770</v>
      </c>
      <c r="L66" s="4"/>
    </row>
    <row r="67" spans="1:12" ht="15.75">
      <c r="A67" s="8">
        <v>60</v>
      </c>
      <c r="B67" s="13">
        <v>3</v>
      </c>
      <c r="C67" s="15">
        <v>1077</v>
      </c>
      <c r="D67" s="8" t="s">
        <v>713</v>
      </c>
      <c r="E67" s="4" t="s">
        <v>225</v>
      </c>
      <c r="F67">
        <v>10002</v>
      </c>
      <c r="G67" t="s">
        <v>226</v>
      </c>
      <c r="H67" s="4" t="b">
        <v>0</v>
      </c>
      <c r="I67" s="4" t="b">
        <v>0</v>
      </c>
      <c r="J67">
        <v>350</v>
      </c>
      <c r="L67" s="4"/>
    </row>
    <row r="68" spans="1:12" ht="15.75">
      <c r="A68" s="8">
        <v>61</v>
      </c>
      <c r="B68" s="13">
        <v>3</v>
      </c>
      <c r="C68" s="15">
        <v>1078</v>
      </c>
      <c r="D68" s="8" t="s">
        <v>714</v>
      </c>
      <c r="E68" s="4" t="s">
        <v>227</v>
      </c>
      <c r="F68">
        <v>10002</v>
      </c>
      <c r="G68" t="s">
        <v>228</v>
      </c>
      <c r="H68" s="4" t="b">
        <v>0</v>
      </c>
      <c r="I68" s="4" t="b">
        <v>0</v>
      </c>
      <c r="J68">
        <v>650</v>
      </c>
      <c r="L68" s="4"/>
    </row>
    <row r="69" spans="1:12" ht="15.75">
      <c r="A69" s="8">
        <v>62</v>
      </c>
      <c r="B69" s="13">
        <v>3</v>
      </c>
      <c r="C69" s="15">
        <v>1079</v>
      </c>
      <c r="D69" s="8" t="s">
        <v>715</v>
      </c>
      <c r="E69" s="4" t="s">
        <v>229</v>
      </c>
      <c r="F69">
        <v>10002</v>
      </c>
      <c r="G69" t="s">
        <v>230</v>
      </c>
      <c r="H69" s="4" t="b">
        <v>0</v>
      </c>
      <c r="I69" s="4" t="b">
        <v>0</v>
      </c>
      <c r="J69">
        <v>660</v>
      </c>
      <c r="L69" s="4"/>
    </row>
    <row r="70" spans="1:12" ht="15.75">
      <c r="A70" s="8">
        <v>63</v>
      </c>
      <c r="B70" s="13">
        <v>3</v>
      </c>
      <c r="C70" s="15">
        <v>1080</v>
      </c>
      <c r="D70" s="8" t="s">
        <v>716</v>
      </c>
      <c r="E70" s="4" t="s">
        <v>231</v>
      </c>
      <c r="F70">
        <v>10002</v>
      </c>
      <c r="G70" t="s">
        <v>232</v>
      </c>
      <c r="H70" s="4" t="b">
        <v>0</v>
      </c>
      <c r="I70" s="4" t="b">
        <v>0</v>
      </c>
      <c r="J70">
        <v>760</v>
      </c>
      <c r="L70" s="4"/>
    </row>
    <row r="71" spans="1:12" ht="15.75">
      <c r="A71" s="8">
        <v>64</v>
      </c>
      <c r="B71" s="13">
        <v>4</v>
      </c>
      <c r="C71" s="15">
        <v>1081</v>
      </c>
      <c r="D71" s="8" t="s">
        <v>717</v>
      </c>
      <c r="E71" s="4" t="s">
        <v>233</v>
      </c>
      <c r="F71">
        <v>10002</v>
      </c>
      <c r="G71" t="s">
        <v>234</v>
      </c>
      <c r="H71" s="4" t="b">
        <v>0</v>
      </c>
      <c r="I71" s="4" t="b">
        <v>0</v>
      </c>
      <c r="J71">
        <v>550</v>
      </c>
      <c r="L71" s="4"/>
    </row>
    <row r="72" spans="1:12" ht="15.75">
      <c r="A72" s="8">
        <v>65</v>
      </c>
      <c r="B72" s="13">
        <v>4</v>
      </c>
      <c r="C72" s="15">
        <v>1082</v>
      </c>
      <c r="D72" s="8" t="s">
        <v>718</v>
      </c>
      <c r="E72" s="4" t="s">
        <v>235</v>
      </c>
      <c r="F72">
        <v>10002</v>
      </c>
      <c r="G72" t="s">
        <v>236</v>
      </c>
      <c r="H72" s="4" t="b">
        <v>0</v>
      </c>
      <c r="I72" s="4" t="b">
        <v>0</v>
      </c>
      <c r="J72">
        <v>200</v>
      </c>
      <c r="L72" s="4"/>
    </row>
    <row r="73" spans="1:12" ht="15.75">
      <c r="A73" s="8">
        <v>66</v>
      </c>
      <c r="B73" s="13">
        <v>4</v>
      </c>
      <c r="C73" s="15">
        <v>1083</v>
      </c>
      <c r="D73" s="8" t="s">
        <v>719</v>
      </c>
      <c r="E73" s="4" t="s">
        <v>237</v>
      </c>
      <c r="F73">
        <v>10002</v>
      </c>
      <c r="G73" t="s">
        <v>238</v>
      </c>
      <c r="H73" s="4" t="b">
        <v>0</v>
      </c>
      <c r="I73" s="4" t="b">
        <v>0</v>
      </c>
      <c r="J73">
        <v>210</v>
      </c>
      <c r="L73" s="4"/>
    </row>
    <row r="74" spans="1:12" ht="15.75">
      <c r="A74" s="8">
        <v>67</v>
      </c>
      <c r="B74" s="13">
        <v>4</v>
      </c>
      <c r="C74" s="15">
        <v>1084</v>
      </c>
      <c r="D74" s="8" t="s">
        <v>720</v>
      </c>
      <c r="E74" s="4" t="s">
        <v>239</v>
      </c>
      <c r="F74">
        <v>10002</v>
      </c>
      <c r="G74" t="s">
        <v>240</v>
      </c>
      <c r="H74" s="4" t="b">
        <v>0</v>
      </c>
      <c r="I74" s="4" t="b">
        <v>0</v>
      </c>
      <c r="J74">
        <v>50</v>
      </c>
      <c r="L74" s="4"/>
    </row>
    <row r="75" spans="1:12" ht="15.75">
      <c r="A75" s="8">
        <v>68</v>
      </c>
      <c r="B75" s="13">
        <v>4</v>
      </c>
      <c r="C75" s="15">
        <v>1085</v>
      </c>
      <c r="D75" s="8" t="s">
        <v>721</v>
      </c>
      <c r="E75" s="4" t="s">
        <v>241</v>
      </c>
      <c r="F75">
        <v>10002</v>
      </c>
      <c r="G75" t="s">
        <v>242</v>
      </c>
      <c r="H75" s="4" t="b">
        <v>0</v>
      </c>
      <c r="I75" s="4" t="b">
        <v>0</v>
      </c>
      <c r="J75">
        <v>60</v>
      </c>
      <c r="L75" s="4"/>
    </row>
    <row r="76" spans="1:12" ht="15.75">
      <c r="A76" s="8">
        <v>69</v>
      </c>
      <c r="B76" s="13">
        <v>3</v>
      </c>
      <c r="C76" s="15">
        <v>1067</v>
      </c>
      <c r="D76" s="8" t="s">
        <v>722</v>
      </c>
      <c r="E76" s="4" t="s">
        <v>243</v>
      </c>
      <c r="F76">
        <v>10002</v>
      </c>
      <c r="G76" t="s">
        <v>244</v>
      </c>
      <c r="H76" s="4" t="b">
        <v>0</v>
      </c>
      <c r="I76" s="4" t="b">
        <v>0</v>
      </c>
      <c r="J76">
        <v>40</v>
      </c>
      <c r="L76" s="4"/>
    </row>
    <row r="77" spans="1:12">
      <c r="A77" s="8">
        <v>70</v>
      </c>
      <c r="B77" s="13">
        <v>3</v>
      </c>
      <c r="C77" s="16">
        <v>1059</v>
      </c>
      <c r="D77" s="8" t="s">
        <v>723</v>
      </c>
      <c r="E77" s="4" t="s">
        <v>245</v>
      </c>
      <c r="F77">
        <v>10002</v>
      </c>
      <c r="G77" t="s">
        <v>246</v>
      </c>
      <c r="H77" s="4" t="b">
        <v>0</v>
      </c>
      <c r="I77" s="4" t="b">
        <v>0</v>
      </c>
      <c r="J77">
        <v>480</v>
      </c>
      <c r="L77" s="4"/>
    </row>
    <row r="78" spans="1:12">
      <c r="A78" s="8">
        <v>71</v>
      </c>
      <c r="B78" s="13">
        <v>3</v>
      </c>
      <c r="C78" s="16">
        <v>1060</v>
      </c>
      <c r="D78" s="8" t="s">
        <v>724</v>
      </c>
      <c r="E78" s="4" t="s">
        <v>247</v>
      </c>
      <c r="F78">
        <v>10002</v>
      </c>
      <c r="G78" t="s">
        <v>248</v>
      </c>
      <c r="H78" s="4" t="b">
        <v>0</v>
      </c>
      <c r="I78" s="4" t="b">
        <v>0</v>
      </c>
      <c r="J78">
        <v>360</v>
      </c>
      <c r="L78" s="4"/>
    </row>
    <row r="79" spans="1:12">
      <c r="A79" s="8">
        <v>72</v>
      </c>
      <c r="B79" s="13">
        <v>3</v>
      </c>
      <c r="C79" s="16">
        <v>1061</v>
      </c>
      <c r="D79" s="8" t="s">
        <v>725</v>
      </c>
      <c r="E79" s="4" t="s">
        <v>249</v>
      </c>
      <c r="F79">
        <v>10002</v>
      </c>
      <c r="G79" t="s">
        <v>250</v>
      </c>
      <c r="H79" s="4" t="b">
        <v>0</v>
      </c>
      <c r="I79" s="4" t="b">
        <v>0</v>
      </c>
      <c r="J79">
        <v>370</v>
      </c>
      <c r="L79" s="4"/>
    </row>
    <row r="80" spans="1:12">
      <c r="A80" s="8">
        <v>73</v>
      </c>
      <c r="B80" s="13">
        <v>3</v>
      </c>
      <c r="C80" s="16">
        <v>1062</v>
      </c>
      <c r="D80" s="8" t="s">
        <v>726</v>
      </c>
      <c r="E80" s="4" t="s">
        <v>251</v>
      </c>
      <c r="F80">
        <v>10002</v>
      </c>
      <c r="G80" t="s">
        <v>252</v>
      </c>
      <c r="H80" s="4" t="b">
        <v>0</v>
      </c>
      <c r="I80" s="4" t="b">
        <v>0</v>
      </c>
      <c r="J80">
        <v>640</v>
      </c>
      <c r="L80" s="4"/>
    </row>
    <row r="81" spans="1:12">
      <c r="A81" s="8">
        <v>74</v>
      </c>
      <c r="B81" s="13">
        <v>3</v>
      </c>
      <c r="C81" s="16">
        <v>1063</v>
      </c>
      <c r="D81" s="8" t="s">
        <v>727</v>
      </c>
      <c r="E81" s="4" t="s">
        <v>253</v>
      </c>
      <c r="F81">
        <v>10002</v>
      </c>
      <c r="G81" t="s">
        <v>254</v>
      </c>
      <c r="H81" s="4" t="b">
        <v>0</v>
      </c>
      <c r="I81" s="4" t="b">
        <v>0</v>
      </c>
      <c r="J81">
        <v>850</v>
      </c>
      <c r="L81" s="4"/>
    </row>
    <row r="82" spans="1:12">
      <c r="A82" s="8">
        <v>75</v>
      </c>
      <c r="B82" s="13">
        <v>3</v>
      </c>
      <c r="C82" s="16">
        <v>1065</v>
      </c>
      <c r="D82" s="8" t="s">
        <v>728</v>
      </c>
      <c r="E82" s="4" t="s">
        <v>255</v>
      </c>
      <c r="F82">
        <v>10002</v>
      </c>
      <c r="G82" t="s">
        <v>256</v>
      </c>
      <c r="H82" s="4" t="b">
        <v>0</v>
      </c>
      <c r="I82" s="4" t="b">
        <v>0</v>
      </c>
      <c r="J82">
        <v>470</v>
      </c>
      <c r="L82" s="4"/>
    </row>
    <row r="83" spans="1:12">
      <c r="A83" s="8">
        <v>76</v>
      </c>
      <c r="B83" s="13">
        <v>3</v>
      </c>
      <c r="C83" s="16">
        <v>1066</v>
      </c>
      <c r="D83" s="8" t="s">
        <v>729</v>
      </c>
      <c r="E83" s="4" t="s">
        <v>257</v>
      </c>
      <c r="F83">
        <v>10002</v>
      </c>
      <c r="G83" t="s">
        <v>258</v>
      </c>
      <c r="H83" s="4" t="b">
        <v>0</v>
      </c>
      <c r="I83" s="4" t="b">
        <v>0</v>
      </c>
      <c r="J83">
        <v>830</v>
      </c>
      <c r="L83" s="4"/>
    </row>
    <row r="84" spans="1:12" ht="15.75">
      <c r="A84" s="8">
        <v>77</v>
      </c>
      <c r="B84" s="13">
        <v>2</v>
      </c>
      <c r="C84" s="15">
        <v>1069</v>
      </c>
      <c r="D84" s="8" t="s">
        <v>730</v>
      </c>
      <c r="E84" s="4" t="s">
        <v>439</v>
      </c>
      <c r="F84">
        <v>10002</v>
      </c>
      <c r="G84" t="s">
        <v>440</v>
      </c>
      <c r="H84" s="4" t="b">
        <v>0</v>
      </c>
      <c r="I84" s="4" t="b">
        <v>0</v>
      </c>
      <c r="J84">
        <v>750</v>
      </c>
      <c r="L84" s="4"/>
    </row>
    <row r="85" spans="1:12" ht="15.75">
      <c r="A85" s="8">
        <v>78</v>
      </c>
      <c r="B85" s="13">
        <v>3</v>
      </c>
      <c r="C85" s="15">
        <v>1072</v>
      </c>
      <c r="D85" s="8" t="s">
        <v>731</v>
      </c>
      <c r="E85" s="4" t="s">
        <v>441</v>
      </c>
      <c r="F85">
        <v>10002</v>
      </c>
      <c r="G85" t="s">
        <v>442</v>
      </c>
      <c r="H85" s="4" t="b">
        <v>0</v>
      </c>
      <c r="I85" s="4" t="b">
        <v>0</v>
      </c>
      <c r="J85">
        <v>790</v>
      </c>
      <c r="L85" s="4"/>
    </row>
    <row r="86" spans="1:12" ht="15.75">
      <c r="A86" s="8">
        <v>79</v>
      </c>
      <c r="B86" s="13">
        <v>4</v>
      </c>
      <c r="C86" s="15">
        <v>1137</v>
      </c>
      <c r="D86" s="8" t="s">
        <v>1104</v>
      </c>
      <c r="E86" s="4" t="s">
        <v>131</v>
      </c>
      <c r="F86">
        <v>10002</v>
      </c>
      <c r="G86" t="s">
        <v>132</v>
      </c>
      <c r="H86" s="4" t="b">
        <v>0</v>
      </c>
      <c r="I86" s="4" t="b">
        <v>0</v>
      </c>
      <c r="J86">
        <v>250</v>
      </c>
      <c r="L86" s="4"/>
    </row>
    <row r="87" spans="1:12" ht="15.75">
      <c r="A87" s="8">
        <v>80</v>
      </c>
      <c r="B87" s="13">
        <v>4</v>
      </c>
      <c r="C87" s="15">
        <v>1129</v>
      </c>
      <c r="D87" s="8" t="s">
        <v>732</v>
      </c>
      <c r="E87" s="4" t="s">
        <v>443</v>
      </c>
      <c r="F87">
        <v>10002</v>
      </c>
      <c r="G87" t="s">
        <v>161</v>
      </c>
      <c r="H87" s="4" t="b">
        <v>0</v>
      </c>
      <c r="I87" s="4" t="b">
        <v>0</v>
      </c>
      <c r="J87">
        <v>420</v>
      </c>
    </row>
    <row r="88" spans="1:12" ht="15.75">
      <c r="A88" s="8">
        <v>81</v>
      </c>
      <c r="B88" s="13">
        <v>4</v>
      </c>
      <c r="C88" s="15">
        <v>1130</v>
      </c>
      <c r="D88" s="8" t="s">
        <v>733</v>
      </c>
      <c r="E88" s="4" t="s">
        <v>444</v>
      </c>
      <c r="F88">
        <v>10002</v>
      </c>
      <c r="G88" t="s">
        <v>445</v>
      </c>
      <c r="H88" s="4" t="b">
        <v>0</v>
      </c>
      <c r="I88" s="4" t="b">
        <v>0</v>
      </c>
      <c r="J88">
        <v>700</v>
      </c>
    </row>
    <row r="89" spans="1:12" ht="15.75">
      <c r="A89" s="8">
        <v>82</v>
      </c>
      <c r="B89" s="13">
        <v>4</v>
      </c>
      <c r="C89" s="15">
        <v>1131</v>
      </c>
      <c r="D89" s="8" t="s">
        <v>734</v>
      </c>
      <c r="E89" s="4" t="s">
        <v>446</v>
      </c>
      <c r="F89">
        <v>10002</v>
      </c>
      <c r="G89" t="s">
        <v>447</v>
      </c>
      <c r="H89" s="4" t="b">
        <v>0</v>
      </c>
      <c r="I89" s="4" t="b">
        <v>0</v>
      </c>
      <c r="J89">
        <v>710</v>
      </c>
    </row>
    <row r="90" spans="1:12" ht="15.75">
      <c r="A90" s="8">
        <v>83</v>
      </c>
      <c r="B90" s="13">
        <v>4</v>
      </c>
      <c r="C90" s="15">
        <v>1132</v>
      </c>
      <c r="D90" s="8" t="s">
        <v>735</v>
      </c>
      <c r="E90" s="4" t="s">
        <v>448</v>
      </c>
      <c r="F90">
        <v>10002</v>
      </c>
      <c r="G90" t="s">
        <v>449</v>
      </c>
      <c r="H90" s="4" t="b">
        <v>0</v>
      </c>
      <c r="I90" s="4" t="b">
        <v>0</v>
      </c>
      <c r="J90">
        <v>720</v>
      </c>
    </row>
    <row r="91" spans="1:12" ht="15.75">
      <c r="A91" s="8">
        <v>84</v>
      </c>
      <c r="B91" s="13">
        <v>4</v>
      </c>
      <c r="C91" s="15">
        <v>1133</v>
      </c>
      <c r="D91" s="8" t="s">
        <v>736</v>
      </c>
      <c r="E91" s="4" t="s">
        <v>450</v>
      </c>
      <c r="F91">
        <v>10002</v>
      </c>
      <c r="G91" t="s">
        <v>451</v>
      </c>
      <c r="H91" s="4" t="b">
        <v>0</v>
      </c>
      <c r="I91" s="4" t="b">
        <v>0</v>
      </c>
      <c r="J91">
        <v>680</v>
      </c>
    </row>
    <row r="92" spans="1:12" ht="15.75">
      <c r="A92" s="8">
        <v>85</v>
      </c>
      <c r="B92" s="13">
        <v>4</v>
      </c>
      <c r="C92" s="15">
        <v>1134</v>
      </c>
      <c r="D92" s="8" t="s">
        <v>737</v>
      </c>
      <c r="E92" s="4" t="s">
        <v>452</v>
      </c>
      <c r="F92">
        <v>10002</v>
      </c>
      <c r="G92" t="s">
        <v>453</v>
      </c>
      <c r="H92" s="4" t="b">
        <v>0</v>
      </c>
      <c r="I92" s="4" t="b">
        <v>0</v>
      </c>
      <c r="J92">
        <v>690</v>
      </c>
    </row>
    <row r="93" spans="1:12" ht="15.75">
      <c r="A93" s="8">
        <v>86</v>
      </c>
      <c r="B93" s="13">
        <v>4</v>
      </c>
      <c r="C93" s="15">
        <v>1135</v>
      </c>
      <c r="D93" s="8" t="s">
        <v>738</v>
      </c>
      <c r="E93" s="4" t="s">
        <v>454</v>
      </c>
      <c r="F93">
        <v>10002</v>
      </c>
      <c r="G93" t="s">
        <v>455</v>
      </c>
      <c r="H93" s="4" t="b">
        <v>0</v>
      </c>
      <c r="I93" s="4" t="b">
        <v>0</v>
      </c>
      <c r="J93">
        <v>730</v>
      </c>
    </row>
    <row r="94" spans="1:12" ht="15.75">
      <c r="A94" s="8">
        <v>87</v>
      </c>
      <c r="B94" s="13">
        <v>2</v>
      </c>
      <c r="C94" s="15">
        <v>1138</v>
      </c>
      <c r="D94" s="8" t="s">
        <v>739</v>
      </c>
      <c r="E94" s="4" t="s">
        <v>456</v>
      </c>
      <c r="F94">
        <v>10002</v>
      </c>
      <c r="G94" s="4" t="s">
        <v>457</v>
      </c>
      <c r="H94" s="4" t="b">
        <v>0</v>
      </c>
      <c r="I94" s="4" t="b">
        <v>0</v>
      </c>
      <c r="J94">
        <v>800</v>
      </c>
    </row>
    <row r="95" spans="1:12" ht="15.75">
      <c r="A95" s="8">
        <v>88</v>
      </c>
      <c r="B95" s="13">
        <v>2</v>
      </c>
      <c r="C95" s="15">
        <v>1139</v>
      </c>
      <c r="D95" s="8" t="s">
        <v>740</v>
      </c>
      <c r="E95" s="4" t="s">
        <v>492</v>
      </c>
      <c r="F95">
        <v>10002</v>
      </c>
      <c r="G95" s="27" t="s">
        <v>491</v>
      </c>
      <c r="H95" s="4" t="b">
        <v>0</v>
      </c>
      <c r="I95" s="4" t="b">
        <v>0</v>
      </c>
      <c r="J95">
        <v>810</v>
      </c>
    </row>
    <row r="96" spans="1:12" s="32" customFormat="1">
      <c r="A96" s="36">
        <v>89</v>
      </c>
      <c r="B96" s="38">
        <v>4</v>
      </c>
      <c r="C96" s="40">
        <v>1140</v>
      </c>
      <c r="D96" s="36" t="s">
        <v>741</v>
      </c>
      <c r="E96" s="39" t="s">
        <v>573</v>
      </c>
      <c r="F96">
        <v>10002</v>
      </c>
      <c r="G96" s="32" t="s">
        <v>579</v>
      </c>
      <c r="H96" s="33" t="b">
        <v>0</v>
      </c>
      <c r="I96" s="33" t="b">
        <v>0</v>
      </c>
      <c r="J96" s="26">
        <v>890</v>
      </c>
    </row>
    <row r="97" spans="1:10" s="32" customFormat="1">
      <c r="A97" s="36">
        <v>90</v>
      </c>
      <c r="B97" s="38">
        <v>4</v>
      </c>
      <c r="C97" s="40">
        <v>1141</v>
      </c>
      <c r="D97" s="36" t="s">
        <v>742</v>
      </c>
      <c r="E97" s="39" t="s">
        <v>574</v>
      </c>
      <c r="F97">
        <v>10002</v>
      </c>
      <c r="G97" s="32" t="s">
        <v>580</v>
      </c>
      <c r="H97" s="33" t="b">
        <v>0</v>
      </c>
      <c r="I97" s="33" t="b">
        <v>0</v>
      </c>
      <c r="J97" s="26">
        <v>900</v>
      </c>
    </row>
    <row r="98" spans="1:10" s="32" customFormat="1">
      <c r="A98" s="36">
        <v>91</v>
      </c>
      <c r="B98" s="38">
        <v>4</v>
      </c>
      <c r="C98" s="40">
        <v>1142</v>
      </c>
      <c r="D98" s="36" t="s">
        <v>743</v>
      </c>
      <c r="E98" s="39" t="s">
        <v>575</v>
      </c>
      <c r="F98">
        <v>10002</v>
      </c>
      <c r="G98" s="32" t="s">
        <v>581</v>
      </c>
      <c r="H98" s="33" t="b">
        <v>0</v>
      </c>
      <c r="I98" s="33" t="b">
        <v>0</v>
      </c>
      <c r="J98" s="26">
        <v>910</v>
      </c>
    </row>
    <row r="99" spans="1:10" s="32" customFormat="1">
      <c r="A99" s="36">
        <v>92</v>
      </c>
      <c r="B99" s="38">
        <v>4</v>
      </c>
      <c r="C99" s="40">
        <v>1143</v>
      </c>
      <c r="D99" s="36" t="s">
        <v>744</v>
      </c>
      <c r="E99" s="39" t="s">
        <v>576</v>
      </c>
      <c r="F99">
        <v>10002</v>
      </c>
      <c r="G99" s="32" t="s">
        <v>582</v>
      </c>
      <c r="H99" s="33" t="b">
        <v>0</v>
      </c>
      <c r="I99" s="33" t="b">
        <v>0</v>
      </c>
      <c r="J99" s="26">
        <v>920</v>
      </c>
    </row>
    <row r="100" spans="1:10" s="32" customFormat="1">
      <c r="A100" s="36">
        <v>93</v>
      </c>
      <c r="B100" s="38">
        <v>4</v>
      </c>
      <c r="C100" s="40">
        <v>1144</v>
      </c>
      <c r="D100" s="36" t="s">
        <v>745</v>
      </c>
      <c r="E100" s="39" t="s">
        <v>577</v>
      </c>
      <c r="F100">
        <v>10002</v>
      </c>
      <c r="G100" s="32" t="s">
        <v>583</v>
      </c>
      <c r="H100" s="33" t="b">
        <v>0</v>
      </c>
      <c r="I100" s="33" t="b">
        <v>0</v>
      </c>
      <c r="J100" s="26">
        <v>930</v>
      </c>
    </row>
    <row r="101" spans="1:10" s="32" customFormat="1">
      <c r="A101" s="36">
        <v>94</v>
      </c>
      <c r="B101" s="40">
        <v>3</v>
      </c>
      <c r="C101" s="40">
        <v>1145</v>
      </c>
      <c r="D101" s="36" t="s">
        <v>746</v>
      </c>
      <c r="E101" s="39" t="s">
        <v>578</v>
      </c>
      <c r="F101">
        <v>10002</v>
      </c>
      <c r="G101" s="32" t="s">
        <v>584</v>
      </c>
      <c r="H101" s="33" t="b">
        <v>0</v>
      </c>
      <c r="I101" s="33" t="b">
        <v>0</v>
      </c>
      <c r="J101" s="26">
        <v>940</v>
      </c>
    </row>
    <row r="102" spans="1:10" s="32" customFormat="1">
      <c r="A102" s="36">
        <v>95</v>
      </c>
      <c r="B102" s="40">
        <v>2</v>
      </c>
      <c r="C102" s="40">
        <v>1146</v>
      </c>
      <c r="D102" s="36" t="s">
        <v>747</v>
      </c>
      <c r="E102" s="39" t="s">
        <v>586</v>
      </c>
      <c r="F102">
        <v>10002</v>
      </c>
      <c r="G102" s="32" t="s">
        <v>585</v>
      </c>
      <c r="H102" s="33" t="b">
        <v>0</v>
      </c>
      <c r="I102" s="33" t="b">
        <v>0</v>
      </c>
      <c r="J102" s="32">
        <v>820</v>
      </c>
    </row>
  </sheetData>
  <autoFilter ref="A7:J102" xr:uid="{00000000-0009-0000-0000-00000A000000}"/>
  <phoneticPr fontId="15" type="noConversion"/>
  <conditionalFormatting sqref="B6">
    <cfRule type="containsText" dxfId="205" priority="24" operator="containsText" text="请填写">
      <formula>NOT(ISERROR(SEARCH("请填写",B6)))</formula>
    </cfRule>
  </conditionalFormatting>
  <conditionalFormatting sqref="C6">
    <cfRule type="containsText" dxfId="204" priority="40" operator="containsText" text="请填写">
      <formula>NOT(ISERROR(SEARCH("请填写",C6)))</formula>
    </cfRule>
    <cfRule type="containsText" dxfId="203" priority="41" operator="containsText" text="请填写">
      <formula>NOT(ISERROR(SEARCH("请填写",C6)))</formula>
    </cfRule>
  </conditionalFormatting>
  <conditionalFormatting sqref="A3:A7">
    <cfRule type="containsText" dxfId="202" priority="73" operator="containsText" text="请填写">
      <formula>NOT(ISERROR(SEARCH("请填写",A3)))</formula>
    </cfRule>
  </conditionalFormatting>
  <conditionalFormatting sqref="D3:D7">
    <cfRule type="containsText" dxfId="201" priority="66" operator="containsText" text="请填写">
      <formula>NOT(ISERROR(SEARCH("请填写",D3)))</formula>
    </cfRule>
  </conditionalFormatting>
  <conditionalFormatting sqref="E3:E7">
    <cfRule type="containsText" dxfId="200" priority="37" operator="containsText" text="请填写">
      <formula>NOT(ISERROR(SEARCH("请填写",E3)))</formula>
    </cfRule>
    <cfRule type="containsText" dxfId="199" priority="65" operator="containsText" text="请填写">
      <formula>NOT(ISERROR(SEARCH("请填写",E3)))</formula>
    </cfRule>
  </conditionalFormatting>
  <conditionalFormatting sqref="F3:F7">
    <cfRule type="containsText" dxfId="198" priority="63" operator="containsText" text="请填写">
      <formula>NOT(ISERROR(SEARCH("请填写",F3)))</formula>
    </cfRule>
    <cfRule type="containsText" dxfId="197" priority="64" operator="containsText" text="请填写">
      <formula>NOT(ISERROR(SEARCH("请填写",F3)))</formula>
    </cfRule>
  </conditionalFormatting>
  <conditionalFormatting sqref="G3:G7">
    <cfRule type="containsText" dxfId="196" priority="36" operator="containsText" text="请填写">
      <formula>NOT(ISERROR(SEARCH("请填写",G3)))</formula>
    </cfRule>
  </conditionalFormatting>
  <conditionalFormatting sqref="H3:H7">
    <cfRule type="containsText" dxfId="195" priority="32" operator="containsText" text="请填写">
      <formula>NOT(ISERROR(SEARCH("请填写",H3)))</formula>
    </cfRule>
    <cfRule type="containsText" dxfId="194" priority="33" operator="containsText" text="请填写">
      <formula>NOT(ISERROR(SEARCH("请填写",H3)))</formula>
    </cfRule>
  </conditionalFormatting>
  <conditionalFormatting sqref="I3:I7">
    <cfRule type="containsText" dxfId="193" priority="29" operator="containsText" text="请填写">
      <formula>NOT(ISERROR(SEARCH("请填写",I3)))</formula>
    </cfRule>
    <cfRule type="containsText" dxfId="192" priority="30" operator="containsText" text="请填写">
      <formula>NOT(ISERROR(SEARCH("请填写",I3)))</formula>
    </cfRule>
    <cfRule type="containsText" dxfId="191" priority="31" operator="containsText" text="请填写">
      <formula>NOT(ISERROR(SEARCH("请填写",I3)))</formula>
    </cfRule>
  </conditionalFormatting>
  <conditionalFormatting sqref="J1:J2">
    <cfRule type="duplicateValues" dxfId="190" priority="22"/>
  </conditionalFormatting>
  <conditionalFormatting sqref="J3:J7">
    <cfRule type="containsText" dxfId="189" priority="20" operator="containsText" text="请填写">
      <formula>NOT(ISERROR(SEARCH("请填写",J3)))</formula>
    </cfRule>
    <cfRule type="containsText" dxfId="188" priority="21" operator="containsText" text="请填写">
      <formula>NOT(ISERROR(SEARCH("请填写",J3)))</formula>
    </cfRule>
  </conditionalFormatting>
  <conditionalFormatting sqref="C95 C1:C7 C103:C1048576 B101:B102">
    <cfRule type="duplicateValues" dxfId="187" priority="16"/>
    <cfRule type="duplicateValues" dxfId="186" priority="23"/>
    <cfRule type="duplicateValues" dxfId="185" priority="125"/>
  </conditionalFormatting>
  <conditionalFormatting sqref="G1:G7 G95:G1048576">
    <cfRule type="duplicateValues" dxfId="184" priority="18"/>
  </conditionalFormatting>
  <conditionalFormatting sqref="J1:J7 J95 J102:J1048576">
    <cfRule type="duplicateValues" dxfId="183" priority="13"/>
  </conditionalFormatting>
  <conditionalFormatting sqref="B3:B5 B7">
    <cfRule type="containsText" dxfId="182" priority="72" operator="containsText" text="请填写">
      <formula>NOT(ISERROR(SEARCH("请填写",B3)))</formula>
    </cfRule>
  </conditionalFormatting>
  <conditionalFormatting sqref="C3:C5 C7">
    <cfRule type="containsText" dxfId="181" priority="71" operator="containsText" text="请填写">
      <formula>NOT(ISERROR(SEARCH("请填写",C3)))</formula>
    </cfRule>
  </conditionalFormatting>
  <conditionalFormatting sqref="C86:C94">
    <cfRule type="duplicateValues" dxfId="180" priority="9"/>
    <cfRule type="duplicateValues" dxfId="179" priority="10"/>
    <cfRule type="duplicateValues" dxfId="178" priority="11"/>
  </conditionalFormatting>
  <conditionalFormatting sqref="J94">
    <cfRule type="duplicateValues" dxfId="177" priority="8"/>
  </conditionalFormatting>
  <conditionalFormatting sqref="C8:C94">
    <cfRule type="duplicateValues" dxfId="176" priority="7"/>
  </conditionalFormatting>
  <conditionalFormatting sqref="C84">
    <cfRule type="duplicateValues" dxfId="175" priority="4"/>
    <cfRule type="duplicateValues" dxfId="174" priority="5"/>
    <cfRule type="duplicateValues" dxfId="173" priority="6"/>
  </conditionalFormatting>
  <conditionalFormatting sqref="C85">
    <cfRule type="duplicateValues" dxfId="172" priority="1"/>
    <cfRule type="duplicateValues" dxfId="171" priority="2"/>
    <cfRule type="duplicateValues" dxfId="170" priority="3"/>
  </conditionalFormatting>
  <dataValidations count="2">
    <dataValidation type="list" allowBlank="1" showInputMessage="1" showErrorMessage="1" sqref="A3:J3" xr:uid="{00000000-0002-0000-0A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J4" xr:uid="{00000000-0002-0000-0A00-000001000000}">
      <formula1>"All,Server,Client,None"</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3" tint="-0.249977111117893"/>
  </sheetPr>
  <dimension ref="A1:G17"/>
  <sheetViews>
    <sheetView workbookViewId="0">
      <pane xSplit="3" ySplit="7" topLeftCell="D8" activePane="bottomRight" state="frozenSplit"/>
      <selection pane="topRight"/>
      <selection pane="bottomLeft"/>
      <selection pane="bottomRight" activeCell="E25" sqref="E25"/>
    </sheetView>
  </sheetViews>
  <sheetFormatPr defaultColWidth="9" defaultRowHeight="13.5"/>
  <cols>
    <col min="1" max="1" width="14.125" customWidth="1"/>
    <col min="3" max="3" width="37.125" customWidth="1"/>
    <col min="4" max="4" width="26.125" customWidth="1"/>
    <col min="5" max="5" width="19.75" customWidth="1"/>
    <col min="6" max="7" width="26.125" customWidth="1"/>
  </cols>
  <sheetData>
    <row r="1" spans="1:7">
      <c r="A1" s="3" t="s">
        <v>36</v>
      </c>
      <c r="B1" s="3" t="s">
        <v>259</v>
      </c>
      <c r="C1" s="1" t="s">
        <v>260</v>
      </c>
      <c r="D1" s="3" t="s">
        <v>65</v>
      </c>
      <c r="E1" s="1" t="s">
        <v>261</v>
      </c>
      <c r="F1" s="3" t="s">
        <v>65</v>
      </c>
      <c r="G1" s="1" t="s">
        <v>261</v>
      </c>
    </row>
    <row r="2" spans="1:7" ht="27">
      <c r="A2" s="3" t="s">
        <v>41</v>
      </c>
      <c r="B2" s="3" t="s">
        <v>105</v>
      </c>
      <c r="C2" s="1" t="s">
        <v>262</v>
      </c>
      <c r="D2" s="3" t="s">
        <v>68</v>
      </c>
      <c r="E2" s="1" t="s">
        <v>69</v>
      </c>
      <c r="F2" s="3" t="s">
        <v>263</v>
      </c>
      <c r="G2" s="1" t="s">
        <v>264</v>
      </c>
    </row>
    <row r="3" spans="1:7">
      <c r="A3" s="3" t="s">
        <v>46</v>
      </c>
      <c r="B3" s="3" t="s">
        <v>46</v>
      </c>
      <c r="C3" s="1" t="s">
        <v>47</v>
      </c>
      <c r="D3" s="1" t="s">
        <v>47</v>
      </c>
      <c r="E3" s="1" t="s">
        <v>47</v>
      </c>
      <c r="F3" s="3" t="s">
        <v>47</v>
      </c>
      <c r="G3" s="1" t="s">
        <v>47</v>
      </c>
    </row>
    <row r="4" spans="1:7">
      <c r="A4" s="3" t="s">
        <v>49</v>
      </c>
      <c r="B4" s="3" t="s">
        <v>49</v>
      </c>
      <c r="C4" s="1" t="s">
        <v>49</v>
      </c>
      <c r="D4" s="1" t="s">
        <v>49</v>
      </c>
      <c r="E4" s="1" t="s">
        <v>49</v>
      </c>
      <c r="F4" s="3" t="s">
        <v>49</v>
      </c>
      <c r="G4" s="1" t="s">
        <v>49</v>
      </c>
    </row>
    <row r="5" spans="1:7">
      <c r="A5" s="3" t="s">
        <v>51</v>
      </c>
      <c r="B5" s="3"/>
      <c r="C5" s="1"/>
      <c r="D5" s="1"/>
      <c r="E5" s="1"/>
      <c r="F5" s="3"/>
      <c r="G5" s="1"/>
    </row>
    <row r="6" spans="1:7" ht="40.5">
      <c r="A6" s="3" t="s">
        <v>52</v>
      </c>
      <c r="B6" s="3" t="s">
        <v>265</v>
      </c>
      <c r="C6" s="1"/>
      <c r="D6" s="1"/>
      <c r="E6" s="1"/>
      <c r="F6" s="3"/>
      <c r="G6" s="1"/>
    </row>
    <row r="7" spans="1:7">
      <c r="A7" s="3" t="s">
        <v>8</v>
      </c>
      <c r="B7" s="3" t="s">
        <v>8</v>
      </c>
      <c r="C7" s="1" t="s">
        <v>8</v>
      </c>
      <c r="D7" s="1" t="s">
        <v>8</v>
      </c>
      <c r="E7" s="1" t="s">
        <v>8</v>
      </c>
      <c r="F7" s="3" t="s">
        <v>8</v>
      </c>
      <c r="G7" s="1" t="s">
        <v>8</v>
      </c>
    </row>
    <row r="8" spans="1:7">
      <c r="A8" s="4">
        <v>1</v>
      </c>
      <c r="B8" s="4">
        <v>37</v>
      </c>
      <c r="C8" s="4" t="s">
        <v>458</v>
      </c>
      <c r="D8" s="4" t="s">
        <v>748</v>
      </c>
      <c r="E8" s="4" t="s">
        <v>266</v>
      </c>
      <c r="F8" s="4" t="s">
        <v>749</v>
      </c>
      <c r="G8" s="4" t="s">
        <v>267</v>
      </c>
    </row>
    <row r="9" spans="1:7">
      <c r="A9" s="4">
        <v>2</v>
      </c>
      <c r="B9" s="4">
        <v>37</v>
      </c>
      <c r="C9" s="4" t="s">
        <v>459</v>
      </c>
      <c r="D9" s="4" t="s">
        <v>750</v>
      </c>
      <c r="E9" s="4" t="s">
        <v>268</v>
      </c>
      <c r="F9" s="4" t="s">
        <v>1877</v>
      </c>
      <c r="G9" s="4" t="s">
        <v>269</v>
      </c>
    </row>
    <row r="10" spans="1:7">
      <c r="A10" s="4">
        <v>3</v>
      </c>
      <c r="B10" s="4">
        <v>37</v>
      </c>
      <c r="C10" s="4" t="s">
        <v>460</v>
      </c>
      <c r="D10" s="4" t="s">
        <v>751</v>
      </c>
      <c r="E10" s="4" t="s">
        <v>270</v>
      </c>
      <c r="F10" s="4" t="s">
        <v>752</v>
      </c>
      <c r="G10" s="4" t="s">
        <v>271</v>
      </c>
    </row>
    <row r="11" spans="1:7">
      <c r="A11" s="4">
        <v>4</v>
      </c>
      <c r="B11" s="4">
        <v>37</v>
      </c>
      <c r="C11" s="4" t="s">
        <v>461</v>
      </c>
      <c r="D11" s="4" t="s">
        <v>753</v>
      </c>
      <c r="E11" s="4" t="s">
        <v>272</v>
      </c>
      <c r="F11" s="4" t="s">
        <v>754</v>
      </c>
      <c r="G11" s="4" t="s">
        <v>273</v>
      </c>
    </row>
    <row r="12" spans="1:7">
      <c r="A12" s="4">
        <v>5</v>
      </c>
      <c r="B12" s="4">
        <v>37</v>
      </c>
      <c r="C12" s="4" t="s">
        <v>462</v>
      </c>
      <c r="D12" s="4" t="s">
        <v>755</v>
      </c>
      <c r="E12" s="4" t="s">
        <v>274</v>
      </c>
      <c r="F12" s="4" t="s">
        <v>756</v>
      </c>
      <c r="G12" s="4" t="s">
        <v>275</v>
      </c>
    </row>
    <row r="13" spans="1:7">
      <c r="A13" s="4">
        <v>6</v>
      </c>
      <c r="B13" s="4">
        <v>36</v>
      </c>
      <c r="C13" s="4" t="s">
        <v>463</v>
      </c>
      <c r="D13" s="4" t="s">
        <v>1105</v>
      </c>
      <c r="E13" s="4" t="s">
        <v>266</v>
      </c>
      <c r="F13" s="4" t="s">
        <v>757</v>
      </c>
      <c r="G13" s="4" t="s">
        <v>276</v>
      </c>
    </row>
    <row r="14" spans="1:7">
      <c r="A14" s="4">
        <v>7</v>
      </c>
      <c r="B14" s="4">
        <v>36</v>
      </c>
      <c r="C14" s="4" t="s">
        <v>464</v>
      </c>
      <c r="D14" s="4" t="s">
        <v>758</v>
      </c>
      <c r="E14" s="4" t="s">
        <v>277</v>
      </c>
      <c r="F14" s="4" t="s">
        <v>759</v>
      </c>
      <c r="G14" s="4" t="s">
        <v>278</v>
      </c>
    </row>
    <row r="15" spans="1:7">
      <c r="A15" s="4">
        <v>8</v>
      </c>
      <c r="B15" s="4">
        <v>36</v>
      </c>
      <c r="C15" s="4" t="s">
        <v>465</v>
      </c>
      <c r="D15" s="4" t="s">
        <v>760</v>
      </c>
      <c r="E15" s="4" t="s">
        <v>279</v>
      </c>
      <c r="F15" s="4" t="s">
        <v>761</v>
      </c>
      <c r="G15" s="4" t="s">
        <v>280</v>
      </c>
    </row>
    <row r="16" spans="1:7">
      <c r="A16" s="4">
        <v>9</v>
      </c>
      <c r="B16" s="4">
        <v>36</v>
      </c>
      <c r="C16" s="4" t="s">
        <v>466</v>
      </c>
      <c r="D16" s="4" t="s">
        <v>1106</v>
      </c>
      <c r="E16" s="4" t="s">
        <v>268</v>
      </c>
      <c r="F16" s="4" t="s">
        <v>762</v>
      </c>
      <c r="G16" s="4" t="s">
        <v>281</v>
      </c>
    </row>
    <row r="17" spans="1:7">
      <c r="A17" s="4">
        <v>10</v>
      </c>
      <c r="B17" s="4">
        <v>36</v>
      </c>
      <c r="C17" s="4" t="s">
        <v>467</v>
      </c>
      <c r="D17" s="4" t="s">
        <v>1107</v>
      </c>
      <c r="E17" s="4" t="s">
        <v>270</v>
      </c>
      <c r="F17" s="4" t="s">
        <v>763</v>
      </c>
      <c r="G17" s="4" t="s">
        <v>282</v>
      </c>
    </row>
  </sheetData>
  <phoneticPr fontId="15" type="noConversion"/>
  <conditionalFormatting sqref="B3:B7">
    <cfRule type="containsText" dxfId="169" priority="23" operator="containsText" text="请填写">
      <formula>NOT(ISERROR(SEARCH("请填写",B3)))</formula>
    </cfRule>
  </conditionalFormatting>
  <conditionalFormatting sqref="C3:C7">
    <cfRule type="containsText" dxfId="168" priority="22" operator="containsText" text="请填写">
      <formula>NOT(ISERROR(SEARCH("请填写",C3)))</formula>
    </cfRule>
  </conditionalFormatting>
  <conditionalFormatting sqref="D3:D4">
    <cfRule type="containsText" dxfId="167" priority="19" operator="containsText" text="请填写">
      <formula>NOT(ISERROR(SEARCH("请填写",D3)))</formula>
    </cfRule>
  </conditionalFormatting>
  <conditionalFormatting sqref="D5:D7">
    <cfRule type="containsText" dxfId="166" priority="18" operator="containsText" text="请填写">
      <formula>NOT(ISERROR(SEARCH("请填写",D5)))</formula>
    </cfRule>
  </conditionalFormatting>
  <conditionalFormatting sqref="E3:E17">
    <cfRule type="containsText" dxfId="165" priority="20" operator="containsText" text="请填写">
      <formula>NOT(ISERROR(SEARCH("请填写",E3)))</formula>
    </cfRule>
    <cfRule type="containsText" dxfId="164" priority="21" operator="containsText" text="请填写">
      <formula>NOT(ISERROR(SEARCH("请填写",E3)))</formula>
    </cfRule>
  </conditionalFormatting>
  <conditionalFormatting sqref="F3:F4">
    <cfRule type="containsText" dxfId="163" priority="4" operator="containsText" text="请填写">
      <formula>NOT(ISERROR(SEARCH("请填写",F3)))</formula>
    </cfRule>
  </conditionalFormatting>
  <conditionalFormatting sqref="F5:F7">
    <cfRule type="containsText" dxfId="162" priority="3" operator="containsText" text="请填写">
      <formula>NOT(ISERROR(SEARCH("请填写",F5)))</formula>
    </cfRule>
  </conditionalFormatting>
  <conditionalFormatting sqref="G3:G7">
    <cfRule type="containsText" dxfId="161" priority="2" operator="containsText" text="请填写">
      <formula>NOT(ISERROR(SEARCH("请填写",G3)))</formula>
    </cfRule>
  </conditionalFormatting>
  <conditionalFormatting sqref="A3:A7 D8:D17 F8:G17">
    <cfRule type="containsText" dxfId="160" priority="24" operator="containsText" text="请填写">
      <formula>NOT(ISERROR(SEARCH("请填写",A3)))</formula>
    </cfRule>
  </conditionalFormatting>
  <dataValidations count="2">
    <dataValidation type="list" allowBlank="1" showInputMessage="1" showErrorMessage="1" sqref="A3:G3" xr:uid="{00000000-0002-0000-0B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G4" xr:uid="{00000000-0002-0000-0B00-000001000000}">
      <formula1>"All,Server,Client,None"</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3" tint="-0.249977111117893"/>
  </sheetPr>
  <dimension ref="A1:D13"/>
  <sheetViews>
    <sheetView workbookViewId="0">
      <pane xSplit="3" ySplit="7" topLeftCell="D8" activePane="bottomRight" state="frozenSplit"/>
      <selection pane="topRight"/>
      <selection pane="bottomLeft"/>
      <selection pane="bottomRight" activeCell="G33" sqref="G33"/>
    </sheetView>
  </sheetViews>
  <sheetFormatPr defaultColWidth="9" defaultRowHeight="13.5"/>
  <cols>
    <col min="2" max="2" width="29.375" customWidth="1"/>
    <col min="3" max="3" width="11.625" customWidth="1"/>
  </cols>
  <sheetData>
    <row r="1" spans="1:4" ht="14.25">
      <c r="A1" s="1" t="s">
        <v>36</v>
      </c>
      <c r="B1" s="2" t="s">
        <v>37</v>
      </c>
      <c r="C1" s="11" t="s">
        <v>283</v>
      </c>
      <c r="D1" s="135" t="s">
        <v>1457</v>
      </c>
    </row>
    <row r="2" spans="1:4" ht="14.25">
      <c r="A2" s="1" t="s">
        <v>41</v>
      </c>
      <c r="B2" s="2" t="s">
        <v>42</v>
      </c>
      <c r="C2" s="11" t="s">
        <v>43</v>
      </c>
      <c r="D2" s="135" t="s">
        <v>1455</v>
      </c>
    </row>
    <row r="3" spans="1:4">
      <c r="A3" s="1" t="s">
        <v>46</v>
      </c>
      <c r="B3" s="3" t="s">
        <v>47</v>
      </c>
      <c r="C3" s="3" t="s">
        <v>47</v>
      </c>
      <c r="D3" s="135" t="s">
        <v>46</v>
      </c>
    </row>
    <row r="4" spans="1:4">
      <c r="A4" s="1" t="s">
        <v>48</v>
      </c>
      <c r="B4" s="3" t="s">
        <v>49</v>
      </c>
      <c r="C4" s="3" t="s">
        <v>50</v>
      </c>
      <c r="D4" s="135" t="s">
        <v>49</v>
      </c>
    </row>
    <row r="5" spans="1:4">
      <c r="A5" s="1" t="s">
        <v>51</v>
      </c>
      <c r="B5" s="1"/>
      <c r="C5" s="3"/>
      <c r="D5" s="135"/>
    </row>
    <row r="6" spans="1:4" ht="40.5">
      <c r="A6" s="1" t="s">
        <v>52</v>
      </c>
      <c r="B6" s="1"/>
      <c r="C6" s="3"/>
      <c r="D6" s="135"/>
    </row>
    <row r="7" spans="1:4">
      <c r="A7" s="28" t="s">
        <v>8</v>
      </c>
      <c r="B7" s="28" t="s">
        <v>8</v>
      </c>
      <c r="C7" s="29" t="s">
        <v>8</v>
      </c>
      <c r="D7" s="135" t="s">
        <v>1456</v>
      </c>
    </row>
    <row r="8" spans="1:4">
      <c r="A8" s="17">
        <v>1</v>
      </c>
      <c r="B8" s="30" t="s">
        <v>609</v>
      </c>
      <c r="C8" s="31" t="s">
        <v>285</v>
      </c>
      <c r="D8" s="4">
        <v>1</v>
      </c>
    </row>
    <row r="9" spans="1:4">
      <c r="A9" s="17">
        <v>2</v>
      </c>
      <c r="B9" s="17" t="s">
        <v>610</v>
      </c>
      <c r="C9" s="31" t="s">
        <v>286</v>
      </c>
      <c r="D9" s="4">
        <v>2</v>
      </c>
    </row>
    <row r="10" spans="1:4">
      <c r="A10" s="17">
        <v>3</v>
      </c>
      <c r="B10" s="17" t="s">
        <v>611</v>
      </c>
      <c r="C10" s="31" t="s">
        <v>287</v>
      </c>
      <c r="D10" s="4">
        <v>7</v>
      </c>
    </row>
    <row r="11" spans="1:4">
      <c r="A11" s="17">
        <v>4</v>
      </c>
      <c r="B11" s="30" t="s">
        <v>612</v>
      </c>
      <c r="C11" s="31" t="s">
        <v>480</v>
      </c>
      <c r="D11" s="4">
        <v>4</v>
      </c>
    </row>
    <row r="12" spans="1:4">
      <c r="A12" s="17">
        <v>5</v>
      </c>
      <c r="B12" s="17" t="s">
        <v>613</v>
      </c>
      <c r="C12" s="31" t="s">
        <v>507</v>
      </c>
      <c r="D12" s="4">
        <v>5</v>
      </c>
    </row>
    <row r="13" spans="1:4">
      <c r="A13" s="4">
        <v>6</v>
      </c>
      <c r="B13" s="17" t="s">
        <v>614</v>
      </c>
      <c r="C13" s="27" t="s">
        <v>543</v>
      </c>
      <c r="D13" s="4">
        <v>6</v>
      </c>
    </row>
  </sheetData>
  <phoneticPr fontId="15" type="noConversion"/>
  <conditionalFormatting sqref="B3:B4">
    <cfRule type="containsText" dxfId="159" priority="8" operator="containsText" text="请填写">
      <formula>NOT(ISERROR(SEARCH("请填写",B3)))</formula>
    </cfRule>
  </conditionalFormatting>
  <conditionalFormatting sqref="A3:A7 B5:B12">
    <cfRule type="containsText" dxfId="158" priority="11" operator="containsText" text="请填写">
      <formula>NOT(ISERROR(SEARCH("请填写",A3)))</formula>
    </cfRule>
  </conditionalFormatting>
  <conditionalFormatting sqref="C3:C7">
    <cfRule type="containsText" dxfId="157" priority="7" operator="containsText" text="请填写">
      <formula>NOT(ISERROR(SEARCH("请填写",C3)))</formula>
    </cfRule>
  </conditionalFormatting>
  <conditionalFormatting sqref="B13">
    <cfRule type="containsText" dxfId="156" priority="2" operator="containsText" text="请填写">
      <formula>NOT(ISERROR(SEARCH("请填写",B13)))</formula>
    </cfRule>
  </conditionalFormatting>
  <conditionalFormatting sqref="B1:C2">
    <cfRule type="duplicateValues" dxfId="155" priority="260"/>
  </conditionalFormatting>
  <conditionalFormatting sqref="D3:D7">
    <cfRule type="containsText" dxfId="154" priority="1" operator="containsText" text="请填写">
      <formula>NOT(ISERROR(SEARCH("请填写",D3)))</formula>
    </cfRule>
  </conditionalFormatting>
  <dataValidations count="2">
    <dataValidation type="list" allowBlank="1" showInputMessage="1" showErrorMessage="1" sqref="A3:D3" xr:uid="{00000000-0002-0000-0C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D4" xr:uid="{00000000-0002-0000-0C00-000001000000}">
      <formula1>"All,Server,Client,None"</formula1>
    </dataValidation>
  </dataValidations>
  <pageMargins left="0.7" right="0.7" top="0.75" bottom="0.75" header="0.3" footer="0.3"/>
  <pageSetup paperSize="9" orientation="portrait" verticalDpi="0"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1:I35"/>
  <sheetViews>
    <sheetView zoomScale="85" zoomScaleNormal="85" workbookViewId="0">
      <pane xSplit="3" ySplit="7" topLeftCell="D8" activePane="bottomRight" state="frozenSplit"/>
      <selection pane="topRight"/>
      <selection pane="bottomLeft"/>
      <selection pane="bottomRight" activeCell="G24" sqref="G24"/>
    </sheetView>
  </sheetViews>
  <sheetFormatPr defaultColWidth="9" defaultRowHeight="13.5"/>
  <cols>
    <col min="2" max="2" width="16" customWidth="1"/>
    <col min="3" max="3" width="32" customWidth="1"/>
    <col min="4" max="4" width="22.625" customWidth="1"/>
    <col min="5" max="5" width="44.625" customWidth="1"/>
    <col min="6" max="6" width="14.875" customWidth="1"/>
    <col min="7" max="7" width="28" customWidth="1"/>
    <col min="8" max="8" width="32.75" customWidth="1"/>
    <col min="9" max="9" width="37.375" customWidth="1"/>
  </cols>
  <sheetData>
    <row r="1" spans="1:9" ht="14.25">
      <c r="A1" s="3" t="s">
        <v>36</v>
      </c>
      <c r="B1" s="3" t="s">
        <v>1474</v>
      </c>
      <c r="C1" s="3" t="s">
        <v>288</v>
      </c>
      <c r="D1" s="3" t="s">
        <v>65</v>
      </c>
      <c r="E1" s="1" t="s">
        <v>289</v>
      </c>
      <c r="F1" s="5" t="s">
        <v>99</v>
      </c>
      <c r="G1" s="9" t="s">
        <v>290</v>
      </c>
      <c r="H1" s="3" t="s">
        <v>291</v>
      </c>
      <c r="I1" s="1" t="s">
        <v>292</v>
      </c>
    </row>
    <row r="2" spans="1:9" ht="14.25">
      <c r="A2" s="3" t="s">
        <v>41</v>
      </c>
      <c r="B2" s="3" t="s">
        <v>104</v>
      </c>
      <c r="C2" s="3" t="s">
        <v>25</v>
      </c>
      <c r="D2" s="3" t="s">
        <v>68</v>
      </c>
      <c r="E2" s="1" t="s">
        <v>69</v>
      </c>
      <c r="F2" s="5" t="s">
        <v>70</v>
      </c>
      <c r="G2" s="9" t="s">
        <v>92</v>
      </c>
      <c r="H2" s="3" t="s">
        <v>93</v>
      </c>
      <c r="I2" s="1" t="s">
        <v>293</v>
      </c>
    </row>
    <row r="3" spans="1:9">
      <c r="A3" s="3" t="s">
        <v>46</v>
      </c>
      <c r="B3" s="3" t="s">
        <v>46</v>
      </c>
      <c r="C3" s="3" t="s">
        <v>47</v>
      </c>
      <c r="D3" s="3" t="s">
        <v>47</v>
      </c>
      <c r="E3" s="1" t="s">
        <v>47</v>
      </c>
      <c r="F3" s="5" t="s">
        <v>46</v>
      </c>
      <c r="G3" s="3" t="s">
        <v>47</v>
      </c>
      <c r="H3" s="3" t="s">
        <v>47</v>
      </c>
      <c r="I3" s="1" t="s">
        <v>47</v>
      </c>
    </row>
    <row r="4" spans="1:9">
      <c r="A4" s="3" t="s">
        <v>48</v>
      </c>
      <c r="B4" s="3" t="s">
        <v>49</v>
      </c>
      <c r="C4" s="3" t="s">
        <v>49</v>
      </c>
      <c r="D4" s="3" t="s">
        <v>49</v>
      </c>
      <c r="E4" s="1" t="s">
        <v>50</v>
      </c>
      <c r="F4" s="5" t="s">
        <v>48</v>
      </c>
      <c r="G4" s="3" t="s">
        <v>49</v>
      </c>
      <c r="H4" s="3" t="s">
        <v>50</v>
      </c>
      <c r="I4" s="1" t="s">
        <v>49</v>
      </c>
    </row>
    <row r="5" spans="1:9">
      <c r="A5" s="3" t="s">
        <v>51</v>
      </c>
      <c r="B5" s="3"/>
      <c r="C5" s="3"/>
      <c r="D5" s="3"/>
      <c r="E5" s="1"/>
      <c r="F5" s="5"/>
      <c r="G5" s="3"/>
      <c r="H5" s="3"/>
      <c r="I5" s="1"/>
    </row>
    <row r="6" spans="1:9" ht="40.5">
      <c r="A6" s="3" t="s">
        <v>52</v>
      </c>
      <c r="B6" s="3"/>
      <c r="C6" s="3"/>
      <c r="D6" s="3"/>
      <c r="E6" s="1"/>
      <c r="F6" s="5" t="s">
        <v>113</v>
      </c>
      <c r="G6" s="3"/>
      <c r="H6" s="3"/>
      <c r="I6" s="1"/>
    </row>
    <row r="7" spans="1:9">
      <c r="A7" s="3" t="s">
        <v>8</v>
      </c>
      <c r="B7" s="3" t="s">
        <v>8</v>
      </c>
      <c r="C7" s="3" t="s">
        <v>8</v>
      </c>
      <c r="D7" s="3" t="s">
        <v>8</v>
      </c>
      <c r="E7" s="1" t="s">
        <v>8</v>
      </c>
      <c r="F7" s="5" t="s">
        <v>8</v>
      </c>
      <c r="G7" s="3" t="s">
        <v>8</v>
      </c>
      <c r="H7" s="3" t="s">
        <v>8</v>
      </c>
      <c r="I7" s="1" t="s">
        <v>8</v>
      </c>
    </row>
    <row r="8" spans="1:9">
      <c r="A8" s="8">
        <v>1</v>
      </c>
      <c r="B8" s="8">
        <v>1</v>
      </c>
      <c r="C8" s="8" t="s">
        <v>294</v>
      </c>
      <c r="D8" s="10" t="s">
        <v>764</v>
      </c>
      <c r="E8" t="s">
        <v>295</v>
      </c>
      <c r="F8" s="4">
        <v>20003010</v>
      </c>
      <c r="G8" t="s">
        <v>1903</v>
      </c>
      <c r="H8" s="4" t="s">
        <v>1871</v>
      </c>
      <c r="I8" s="8" t="s">
        <v>779</v>
      </c>
    </row>
    <row r="9" spans="1:9">
      <c r="A9" s="8">
        <v>2</v>
      </c>
      <c r="B9" s="8">
        <v>1</v>
      </c>
      <c r="C9" s="8" t="s">
        <v>296</v>
      </c>
      <c r="D9" s="10" t="s">
        <v>765</v>
      </c>
      <c r="E9" t="s">
        <v>297</v>
      </c>
      <c r="F9" s="4">
        <v>20003010</v>
      </c>
      <c r="G9" s="4" t="s">
        <v>1904</v>
      </c>
      <c r="H9" s="4" t="s">
        <v>1871</v>
      </c>
      <c r="I9" s="8" t="s">
        <v>298</v>
      </c>
    </row>
    <row r="10" spans="1:9">
      <c r="A10" s="8">
        <v>3</v>
      </c>
      <c r="B10" s="8">
        <v>1</v>
      </c>
      <c r="C10" s="8" t="s">
        <v>299</v>
      </c>
      <c r="D10" s="10" t="s">
        <v>766</v>
      </c>
      <c r="E10" t="s">
        <v>300</v>
      </c>
      <c r="F10" s="4">
        <v>20003010</v>
      </c>
      <c r="G10" t="s">
        <v>1905</v>
      </c>
      <c r="H10" s="4" t="s">
        <v>1872</v>
      </c>
      <c r="I10" t="s">
        <v>301</v>
      </c>
    </row>
    <row r="11" spans="1:9">
      <c r="A11" s="8">
        <v>4</v>
      </c>
      <c r="B11" s="8">
        <v>1</v>
      </c>
      <c r="C11" s="8" t="s">
        <v>302</v>
      </c>
      <c r="D11" s="10" t="s">
        <v>767</v>
      </c>
      <c r="E11" t="s">
        <v>303</v>
      </c>
      <c r="F11" s="4">
        <v>20003010</v>
      </c>
      <c r="G11" t="s">
        <v>1906</v>
      </c>
      <c r="H11" s="4" t="s">
        <v>1872</v>
      </c>
      <c r="I11" t="s">
        <v>304</v>
      </c>
    </row>
    <row r="12" spans="1:9">
      <c r="A12" s="8">
        <v>5</v>
      </c>
      <c r="B12" s="8">
        <v>2</v>
      </c>
      <c r="C12" s="8" t="s">
        <v>305</v>
      </c>
      <c r="D12" s="10" t="s">
        <v>768</v>
      </c>
      <c r="E12" t="s">
        <v>306</v>
      </c>
      <c r="F12" s="4">
        <v>20006010</v>
      </c>
      <c r="G12" t="s">
        <v>1907</v>
      </c>
      <c r="H12" s="4" t="s">
        <v>1870</v>
      </c>
      <c r="I12" t="s">
        <v>307</v>
      </c>
    </row>
    <row r="13" spans="1:9">
      <c r="A13">
        <v>6</v>
      </c>
      <c r="B13">
        <v>2</v>
      </c>
      <c r="C13" s="8" t="s">
        <v>308</v>
      </c>
      <c r="D13" s="10" t="s">
        <v>769</v>
      </c>
      <c r="E13" t="s">
        <v>309</v>
      </c>
      <c r="F13" s="4">
        <v>20006010</v>
      </c>
      <c r="G13" t="s">
        <v>1908</v>
      </c>
      <c r="H13" s="4" t="s">
        <v>1870</v>
      </c>
      <c r="I13" t="s">
        <v>310</v>
      </c>
    </row>
    <row r="14" spans="1:9">
      <c r="A14">
        <v>7</v>
      </c>
      <c r="B14">
        <v>2</v>
      </c>
      <c r="C14" s="8" t="s">
        <v>311</v>
      </c>
      <c r="D14" s="10" t="s">
        <v>770</v>
      </c>
      <c r="E14" t="s">
        <v>312</v>
      </c>
      <c r="F14" s="4">
        <v>20006010</v>
      </c>
      <c r="G14" t="s">
        <v>1909</v>
      </c>
      <c r="H14" s="4" t="s">
        <v>1870</v>
      </c>
      <c r="I14" t="s">
        <v>313</v>
      </c>
    </row>
    <row r="15" spans="1:9">
      <c r="A15">
        <v>8</v>
      </c>
      <c r="B15">
        <v>2</v>
      </c>
      <c r="C15" s="8" t="s">
        <v>314</v>
      </c>
      <c r="D15" s="10" t="s">
        <v>771</v>
      </c>
      <c r="E15" t="s">
        <v>315</v>
      </c>
      <c r="F15" s="4">
        <v>20006010</v>
      </c>
      <c r="G15" t="s">
        <v>1910</v>
      </c>
      <c r="H15" s="4" t="s">
        <v>1870</v>
      </c>
      <c r="I15" t="s">
        <v>316</v>
      </c>
    </row>
    <row r="16" spans="1:9">
      <c r="A16">
        <v>9</v>
      </c>
      <c r="B16">
        <v>4</v>
      </c>
      <c r="C16" s="8" t="s">
        <v>1888</v>
      </c>
      <c r="D16" s="10" t="s">
        <v>1911</v>
      </c>
      <c r="E16" t="s">
        <v>484</v>
      </c>
      <c r="F16" s="4">
        <v>20018012</v>
      </c>
      <c r="G16" t="s">
        <v>1912</v>
      </c>
      <c r="H16" s="4" t="s">
        <v>1868</v>
      </c>
      <c r="I16" t="s">
        <v>1889</v>
      </c>
    </row>
    <row r="17" spans="1:9">
      <c r="A17">
        <v>10</v>
      </c>
      <c r="B17">
        <v>4</v>
      </c>
      <c r="C17" s="8" t="s">
        <v>481</v>
      </c>
      <c r="D17" s="10" t="s">
        <v>1913</v>
      </c>
      <c r="E17" t="s">
        <v>485</v>
      </c>
      <c r="F17" s="4">
        <v>20018012</v>
      </c>
      <c r="G17" t="s">
        <v>1914</v>
      </c>
      <c r="H17" s="4" t="s">
        <v>1868</v>
      </c>
      <c r="I17" t="s">
        <v>488</v>
      </c>
    </row>
    <row r="18" spans="1:9">
      <c r="A18">
        <v>11</v>
      </c>
      <c r="B18">
        <v>4</v>
      </c>
      <c r="C18" s="8" t="s">
        <v>482</v>
      </c>
      <c r="D18" s="10" t="s">
        <v>1915</v>
      </c>
      <c r="E18" t="s">
        <v>486</v>
      </c>
      <c r="F18" s="4">
        <v>20018012</v>
      </c>
      <c r="G18" t="s">
        <v>1916</v>
      </c>
      <c r="H18" s="4" t="s">
        <v>1868</v>
      </c>
      <c r="I18" t="s">
        <v>489</v>
      </c>
    </row>
    <row r="19" spans="1:9">
      <c r="A19">
        <v>12</v>
      </c>
      <c r="B19">
        <v>4</v>
      </c>
      <c r="C19" s="8" t="s">
        <v>483</v>
      </c>
      <c r="D19" s="10" t="s">
        <v>1917</v>
      </c>
      <c r="E19" t="s">
        <v>487</v>
      </c>
      <c r="F19" s="4">
        <v>20018012</v>
      </c>
      <c r="G19" t="s">
        <v>1918</v>
      </c>
      <c r="H19" s="4" t="s">
        <v>1868</v>
      </c>
      <c r="I19" s="4" t="s">
        <v>490</v>
      </c>
    </row>
    <row r="20" spans="1:9">
      <c r="A20">
        <v>13</v>
      </c>
      <c r="B20">
        <v>5</v>
      </c>
      <c r="C20" s="8" t="s">
        <v>1890</v>
      </c>
      <c r="D20" s="10" t="s">
        <v>1919</v>
      </c>
      <c r="E20" t="s">
        <v>508</v>
      </c>
      <c r="F20" s="4">
        <v>20020015</v>
      </c>
      <c r="G20" t="s">
        <v>1920</v>
      </c>
      <c r="H20" s="4" t="s">
        <v>1891</v>
      </c>
      <c r="I20" t="s">
        <v>1892</v>
      </c>
    </row>
    <row r="21" spans="1:9">
      <c r="A21">
        <v>14</v>
      </c>
      <c r="B21">
        <v>5</v>
      </c>
      <c r="C21" s="8" t="s">
        <v>1893</v>
      </c>
      <c r="D21" s="10" t="s">
        <v>1921</v>
      </c>
      <c r="E21" t="s">
        <v>509</v>
      </c>
      <c r="F21" s="4">
        <v>20020015</v>
      </c>
      <c r="G21" t="s">
        <v>1922</v>
      </c>
      <c r="H21" s="4" t="s">
        <v>1891</v>
      </c>
      <c r="I21" t="s">
        <v>1894</v>
      </c>
    </row>
    <row r="22" spans="1:9">
      <c r="A22">
        <v>15</v>
      </c>
      <c r="B22">
        <v>5</v>
      </c>
      <c r="C22" s="8" t="s">
        <v>1895</v>
      </c>
      <c r="D22" s="10" t="s">
        <v>1923</v>
      </c>
      <c r="E22" t="s">
        <v>510</v>
      </c>
      <c r="F22" s="4">
        <v>20020015</v>
      </c>
      <c r="G22" t="s">
        <v>1924</v>
      </c>
      <c r="H22" s="4" t="s">
        <v>1891</v>
      </c>
      <c r="I22" t="s">
        <v>1896</v>
      </c>
    </row>
    <row r="23" spans="1:9">
      <c r="A23">
        <v>16</v>
      </c>
      <c r="B23">
        <v>5</v>
      </c>
      <c r="C23" s="8" t="s">
        <v>1897</v>
      </c>
      <c r="D23" s="10" t="s">
        <v>1925</v>
      </c>
      <c r="E23" t="s">
        <v>511</v>
      </c>
      <c r="F23" s="4">
        <v>20020015</v>
      </c>
      <c r="G23" t="s">
        <v>1926</v>
      </c>
      <c r="H23" s="4" t="s">
        <v>1891</v>
      </c>
      <c r="I23" t="s">
        <v>1898</v>
      </c>
    </row>
    <row r="24" spans="1:9">
      <c r="A24">
        <v>17</v>
      </c>
      <c r="B24">
        <v>6</v>
      </c>
      <c r="C24" s="8" t="s">
        <v>544</v>
      </c>
      <c r="D24" s="10" t="s">
        <v>1927</v>
      </c>
      <c r="E24" t="s">
        <v>545</v>
      </c>
      <c r="F24" s="4">
        <v>99110808</v>
      </c>
      <c r="G24" t="s">
        <v>1928</v>
      </c>
      <c r="H24" s="4" t="s">
        <v>1899</v>
      </c>
      <c r="I24" s="27" t="s">
        <v>546</v>
      </c>
    </row>
    <row r="25" spans="1:9">
      <c r="A25">
        <v>18</v>
      </c>
      <c r="B25">
        <v>6</v>
      </c>
      <c r="C25" s="8" t="s">
        <v>547</v>
      </c>
      <c r="D25" s="10" t="s">
        <v>1929</v>
      </c>
      <c r="E25" t="s">
        <v>548</v>
      </c>
      <c r="F25" s="4">
        <v>99110808</v>
      </c>
      <c r="G25" t="s">
        <v>1930</v>
      </c>
      <c r="H25" s="4" t="s">
        <v>1899</v>
      </c>
      <c r="I25" s="27" t="s">
        <v>549</v>
      </c>
    </row>
    <row r="26" spans="1:9">
      <c r="A26">
        <v>19</v>
      </c>
      <c r="B26">
        <v>6</v>
      </c>
      <c r="C26" s="8" t="s">
        <v>550</v>
      </c>
      <c r="D26" s="10" t="s">
        <v>1931</v>
      </c>
      <c r="E26" t="s">
        <v>551</v>
      </c>
      <c r="F26" s="4">
        <v>99110808</v>
      </c>
      <c r="G26" t="s">
        <v>1932</v>
      </c>
      <c r="H26" s="4" t="s">
        <v>1899</v>
      </c>
      <c r="I26" s="27" t="s">
        <v>552</v>
      </c>
    </row>
    <row r="27" spans="1:9">
      <c r="A27">
        <v>20</v>
      </c>
      <c r="B27">
        <v>6</v>
      </c>
      <c r="C27" s="8" t="s">
        <v>553</v>
      </c>
      <c r="D27" s="10" t="s">
        <v>1933</v>
      </c>
      <c r="E27" t="s">
        <v>554</v>
      </c>
      <c r="F27" s="4">
        <v>99110808</v>
      </c>
      <c r="G27" t="s">
        <v>1934</v>
      </c>
      <c r="H27" s="4" t="s">
        <v>1899</v>
      </c>
      <c r="I27" s="27" t="s">
        <v>555</v>
      </c>
    </row>
    <row r="28" spans="1:9">
      <c r="A28">
        <v>21</v>
      </c>
      <c r="B28">
        <v>3</v>
      </c>
      <c r="C28" s="8" t="s">
        <v>317</v>
      </c>
      <c r="D28" s="10" t="s">
        <v>1935</v>
      </c>
      <c r="E28" t="s">
        <v>318</v>
      </c>
      <c r="F28" s="4">
        <v>20035012</v>
      </c>
      <c r="G28" t="s">
        <v>1936</v>
      </c>
      <c r="H28" s="4" t="s">
        <v>1869</v>
      </c>
      <c r="I28" s="27" t="s">
        <v>319</v>
      </c>
    </row>
    <row r="29" spans="1:9">
      <c r="A29">
        <v>22</v>
      </c>
      <c r="B29">
        <v>3</v>
      </c>
      <c r="C29" s="8" t="s">
        <v>320</v>
      </c>
      <c r="D29" s="10" t="s">
        <v>1937</v>
      </c>
      <c r="E29" t="s">
        <v>321</v>
      </c>
      <c r="F29" s="4">
        <v>20035012</v>
      </c>
      <c r="G29" t="s">
        <v>1938</v>
      </c>
      <c r="H29" s="4" t="s">
        <v>1869</v>
      </c>
      <c r="I29" s="27" t="s">
        <v>322</v>
      </c>
    </row>
    <row r="30" spans="1:9">
      <c r="A30">
        <v>23</v>
      </c>
      <c r="B30">
        <v>3</v>
      </c>
      <c r="C30" s="8" t="s">
        <v>323</v>
      </c>
      <c r="D30" s="10" t="s">
        <v>1939</v>
      </c>
      <c r="E30" t="s">
        <v>324</v>
      </c>
      <c r="F30" s="4">
        <v>20035012</v>
      </c>
      <c r="G30" t="s">
        <v>1940</v>
      </c>
      <c r="H30" s="4" t="s">
        <v>1869</v>
      </c>
      <c r="I30" s="27" t="s">
        <v>325</v>
      </c>
    </row>
    <row r="31" spans="1:9">
      <c r="A31">
        <v>24</v>
      </c>
      <c r="B31">
        <v>3</v>
      </c>
      <c r="C31" s="8" t="s">
        <v>326</v>
      </c>
      <c r="D31" s="10" t="s">
        <v>1941</v>
      </c>
      <c r="E31" t="s">
        <v>327</v>
      </c>
      <c r="F31" s="4">
        <v>20035012</v>
      </c>
      <c r="G31" t="s">
        <v>1942</v>
      </c>
      <c r="H31" s="4" t="s">
        <v>1869</v>
      </c>
      <c r="I31" s="27" t="s">
        <v>1887</v>
      </c>
    </row>
    <row r="32" spans="1:9" s="32" customFormat="1">
      <c r="A32" s="32">
        <v>25</v>
      </c>
      <c r="B32" s="32">
        <v>3</v>
      </c>
      <c r="C32" s="36" t="s">
        <v>328</v>
      </c>
      <c r="D32" s="35" t="s">
        <v>1943</v>
      </c>
      <c r="E32" s="34" t="s">
        <v>329</v>
      </c>
      <c r="F32" s="4">
        <v>20035012</v>
      </c>
      <c r="G32" s="32" t="s">
        <v>1944</v>
      </c>
      <c r="H32" s="4" t="s">
        <v>1869</v>
      </c>
      <c r="I32" s="34" t="s">
        <v>330</v>
      </c>
    </row>
    <row r="33" spans="1:9" s="32" customFormat="1">
      <c r="A33" s="32">
        <v>26</v>
      </c>
      <c r="B33" s="32">
        <v>3</v>
      </c>
      <c r="C33" s="36" t="s">
        <v>331</v>
      </c>
      <c r="D33" s="35" t="s">
        <v>1945</v>
      </c>
      <c r="E33" s="34" t="s">
        <v>332</v>
      </c>
      <c r="F33" s="4">
        <v>20035012</v>
      </c>
      <c r="G33" s="32" t="s">
        <v>1946</v>
      </c>
      <c r="H33" s="4" t="s">
        <v>1869</v>
      </c>
      <c r="I33" s="34" t="s">
        <v>333</v>
      </c>
    </row>
    <row r="34" spans="1:9" s="32" customFormat="1">
      <c r="A34" s="32">
        <v>27</v>
      </c>
      <c r="B34" s="32">
        <v>3</v>
      </c>
      <c r="C34" s="36" t="s">
        <v>334</v>
      </c>
      <c r="D34" s="35" t="s">
        <v>1947</v>
      </c>
      <c r="E34" s="34" t="s">
        <v>335</v>
      </c>
      <c r="F34" s="4">
        <v>20035012</v>
      </c>
      <c r="G34" s="32" t="s">
        <v>1948</v>
      </c>
      <c r="H34" s="4" t="s">
        <v>1869</v>
      </c>
      <c r="I34" s="34" t="s">
        <v>336</v>
      </c>
    </row>
    <row r="35" spans="1:9" s="32" customFormat="1">
      <c r="A35" s="32">
        <v>28</v>
      </c>
      <c r="B35" s="32">
        <v>3</v>
      </c>
      <c r="C35" s="36" t="s">
        <v>337</v>
      </c>
      <c r="D35" s="35" t="s">
        <v>1949</v>
      </c>
      <c r="E35" s="34" t="s">
        <v>338</v>
      </c>
      <c r="F35" s="4">
        <v>20035012</v>
      </c>
      <c r="G35" s="32" t="s">
        <v>1950</v>
      </c>
      <c r="H35" s="4" t="s">
        <v>1869</v>
      </c>
      <c r="I35" s="34" t="s">
        <v>339</v>
      </c>
    </row>
  </sheetData>
  <phoneticPr fontId="15" type="noConversion"/>
  <conditionalFormatting sqref="F6">
    <cfRule type="containsText" dxfId="153" priority="8" operator="containsText" text="请填写">
      <formula>NOT(ISERROR(SEARCH("请填写",F6)))</formula>
    </cfRule>
    <cfRule type="containsText" dxfId="152" priority="9" operator="containsText" text="请填写">
      <formula>NOT(ISERROR(SEARCH("请填写",F6)))</formula>
    </cfRule>
  </conditionalFormatting>
  <conditionalFormatting sqref="A3:A7">
    <cfRule type="containsText" dxfId="151" priority="23" operator="containsText" text="请填写">
      <formula>NOT(ISERROR(SEARCH("请填写",A3)))</formula>
    </cfRule>
  </conditionalFormatting>
  <conditionalFormatting sqref="B3:B7">
    <cfRule type="containsText" dxfId="150" priority="22" operator="containsText" text="请填写">
      <formula>NOT(ISERROR(SEARCH("请填写",B3)))</formula>
    </cfRule>
  </conditionalFormatting>
  <conditionalFormatting sqref="C3:C7">
    <cfRule type="containsText" dxfId="149" priority="21" operator="containsText" text="请填写">
      <formula>NOT(ISERROR(SEARCH("请填写",C3)))</formula>
    </cfRule>
  </conditionalFormatting>
  <conditionalFormatting sqref="D3:D7">
    <cfRule type="containsText" dxfId="148" priority="19" operator="containsText" text="请填写">
      <formula>NOT(ISERROR(SEARCH("请填写",D3)))</formula>
    </cfRule>
    <cfRule type="containsText" dxfId="147" priority="20" operator="containsText" text="请填写">
      <formula>NOT(ISERROR(SEARCH("请填写",D3)))</formula>
    </cfRule>
  </conditionalFormatting>
  <conditionalFormatting sqref="E3:E7">
    <cfRule type="containsText" dxfId="146" priority="12" operator="containsText" text="请填写">
      <formula>NOT(ISERROR(SEARCH("请填写",E3)))</formula>
    </cfRule>
    <cfRule type="containsText" dxfId="145" priority="18" operator="containsText" text="请填写">
      <formula>NOT(ISERROR(SEARCH("请填写",E3)))</formula>
    </cfRule>
  </conditionalFormatting>
  <conditionalFormatting sqref="G6:G7">
    <cfRule type="containsText" dxfId="144" priority="15" operator="containsText" text="请填写">
      <formula>NOT(ISERROR(SEARCH("请填写",G6)))</formula>
    </cfRule>
    <cfRule type="containsText" dxfId="143" priority="16" operator="containsText" text="请填写">
      <formula>NOT(ISERROR(SEARCH("请填写",G6)))</formula>
    </cfRule>
  </conditionalFormatting>
  <conditionalFormatting sqref="H3:H7">
    <cfRule type="containsText" dxfId="142" priority="13" operator="containsText" text="请填写">
      <formula>NOT(ISERROR(SEARCH("请填写",H3)))</formula>
    </cfRule>
  </conditionalFormatting>
  <conditionalFormatting sqref="H3:H7">
    <cfRule type="containsText" dxfId="141" priority="11" operator="containsText" text="请填写">
      <formula>NOT(ISERROR(SEARCH("请填写",H3)))</formula>
    </cfRule>
  </conditionalFormatting>
  <conditionalFormatting sqref="I3:I7">
    <cfRule type="containsText" dxfId="140" priority="10" operator="containsText" text="请填写">
      <formula>NOT(ISERROR(SEARCH("请填写",I3)))</formula>
    </cfRule>
  </conditionalFormatting>
  <conditionalFormatting sqref="F3:F5 F7">
    <cfRule type="containsText" dxfId="139" priority="17" operator="containsText" text="请填写">
      <formula>NOT(ISERROR(SEARCH("请填写",F3)))</formula>
    </cfRule>
  </conditionalFormatting>
  <conditionalFormatting sqref="G3:G5 G8:G31">
    <cfRule type="containsText" dxfId="138" priority="14" operator="containsText" text="请填写">
      <formula>NOT(ISERROR(SEARCH("请填写",G3)))</formula>
    </cfRule>
  </conditionalFormatting>
  <conditionalFormatting sqref="G32:G35">
    <cfRule type="containsText" dxfId="137" priority="7" operator="containsText" text="请填写">
      <formula>NOT(ISERROR(SEARCH("请填写",G32)))</formula>
    </cfRule>
  </conditionalFormatting>
  <conditionalFormatting sqref="F8:F11">
    <cfRule type="duplicateValues" dxfId="136" priority="5"/>
  </conditionalFormatting>
  <conditionalFormatting sqref="F12:F35">
    <cfRule type="duplicateValues" dxfId="135" priority="266"/>
  </conditionalFormatting>
  <dataValidations count="4">
    <dataValidation type="list" allowBlank="1" showInputMessage="1" showErrorMessage="1" sqref="H3:I3 A3:F3" xr:uid="{00000000-0002-0000-0D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G3" xr:uid="{00000000-0002-0000-0D00-000001000000}">
      <formula1>"string,transtring,float,uint32,bool,int32"</formula1>
    </dataValidation>
    <dataValidation type="list" allowBlank="1" showInputMessage="1" showErrorMessage="1" sqref="H4:I4 A4:F4" xr:uid="{00000000-0002-0000-0D00-000002000000}">
      <formula1>"All,Server,Client,None"</formula1>
    </dataValidation>
    <dataValidation type="list" allowBlank="1" showInputMessage="1" showErrorMessage="1" sqref="G4" xr:uid="{00000000-0002-0000-0D00-000003000000}">
      <formula1>"All,Server,Client"</formula1>
    </dataValidation>
  </dataValidations>
  <pageMargins left="0.7" right="0.7" top="0.75" bottom="0.75" header="0.3" footer="0.3"/>
  <pageSetup paperSize="9" orientation="portrait" verticalDpi="0"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K15"/>
  <sheetViews>
    <sheetView workbookViewId="0">
      <pane xSplit="3" ySplit="7" topLeftCell="E8" activePane="bottomRight" state="frozenSplit"/>
      <selection pane="topRight"/>
      <selection pane="bottomLeft"/>
      <selection pane="bottomRight" activeCell="C32" sqref="C32"/>
    </sheetView>
  </sheetViews>
  <sheetFormatPr defaultColWidth="9" defaultRowHeight="13.5"/>
  <cols>
    <col min="2" max="2" width="30.5" customWidth="1"/>
    <col min="3" max="4" width="14.75" customWidth="1"/>
    <col min="5" max="5" width="40.5" customWidth="1"/>
    <col min="6" max="7" width="28.25" customWidth="1"/>
    <col min="8" max="8" width="13.875" customWidth="1"/>
    <col min="9" max="9" width="30.5" customWidth="1"/>
    <col min="10" max="10" width="15.375" customWidth="1"/>
  </cols>
  <sheetData>
    <row r="1" spans="1:11" ht="14.25">
      <c r="A1" s="3" t="s">
        <v>36</v>
      </c>
      <c r="B1" s="2" t="s">
        <v>37</v>
      </c>
      <c r="C1" s="3" t="s">
        <v>340</v>
      </c>
      <c r="D1" s="1" t="s">
        <v>103</v>
      </c>
      <c r="E1" s="6" t="s">
        <v>341</v>
      </c>
      <c r="F1" s="3" t="s">
        <v>342</v>
      </c>
      <c r="G1" s="3" t="s">
        <v>343</v>
      </c>
      <c r="H1" s="1" t="s">
        <v>344</v>
      </c>
      <c r="I1" s="6" t="s">
        <v>65</v>
      </c>
      <c r="J1" s="1" t="s">
        <v>345</v>
      </c>
      <c r="K1" s="5" t="s">
        <v>99</v>
      </c>
    </row>
    <row r="2" spans="1:11" ht="14.25">
      <c r="A2" s="3" t="s">
        <v>41</v>
      </c>
      <c r="B2" s="2" t="s">
        <v>42</v>
      </c>
      <c r="C2" s="3" t="s">
        <v>43</v>
      </c>
      <c r="D2" s="1" t="s">
        <v>109</v>
      </c>
      <c r="E2" s="6" t="s">
        <v>346</v>
      </c>
      <c r="F2" s="3" t="s">
        <v>347</v>
      </c>
      <c r="G2" s="3" t="s">
        <v>284</v>
      </c>
      <c r="H2" s="1" t="s">
        <v>348</v>
      </c>
      <c r="I2" s="6" t="s">
        <v>68</v>
      </c>
      <c r="J2" s="1" t="s">
        <v>69</v>
      </c>
      <c r="K2" s="5" t="s">
        <v>70</v>
      </c>
    </row>
    <row r="3" spans="1:11">
      <c r="A3" s="3" t="s">
        <v>46</v>
      </c>
      <c r="B3" s="3" t="s">
        <v>47</v>
      </c>
      <c r="C3" s="3" t="s">
        <v>47</v>
      </c>
      <c r="D3" s="1" t="s">
        <v>46</v>
      </c>
      <c r="E3" s="6" t="s">
        <v>47</v>
      </c>
      <c r="F3" s="3" t="s">
        <v>47</v>
      </c>
      <c r="G3" s="3" t="s">
        <v>46</v>
      </c>
      <c r="H3" s="1" t="s">
        <v>46</v>
      </c>
      <c r="I3" s="6" t="s">
        <v>47</v>
      </c>
      <c r="J3" s="1" t="s">
        <v>47</v>
      </c>
      <c r="K3" s="5" t="s">
        <v>46</v>
      </c>
    </row>
    <row r="4" spans="1:11">
      <c r="A4" s="3" t="s">
        <v>48</v>
      </c>
      <c r="B4" s="3" t="s">
        <v>49</v>
      </c>
      <c r="C4" s="3" t="s">
        <v>49</v>
      </c>
      <c r="D4" s="1" t="s">
        <v>49</v>
      </c>
      <c r="E4" s="6" t="s">
        <v>49</v>
      </c>
      <c r="F4" s="3" t="s">
        <v>49</v>
      </c>
      <c r="G4" s="3" t="s">
        <v>49</v>
      </c>
      <c r="H4" s="1" t="s">
        <v>49</v>
      </c>
      <c r="I4" s="6" t="s">
        <v>49</v>
      </c>
      <c r="J4" s="1" t="s">
        <v>49</v>
      </c>
      <c r="K4" s="5" t="s">
        <v>48</v>
      </c>
    </row>
    <row r="5" spans="1:11">
      <c r="A5" s="3" t="s">
        <v>51</v>
      </c>
      <c r="B5" s="3"/>
      <c r="C5" s="3"/>
      <c r="D5" s="1"/>
      <c r="E5" s="6"/>
      <c r="F5" s="3"/>
      <c r="G5" s="3"/>
      <c r="H5" s="1"/>
      <c r="I5" s="6"/>
      <c r="J5" s="1"/>
      <c r="K5" s="5"/>
    </row>
    <row r="6" spans="1:11" ht="67.5">
      <c r="A6" s="3" t="s">
        <v>52</v>
      </c>
      <c r="B6" s="3"/>
      <c r="C6" s="3"/>
      <c r="D6" s="1" t="s">
        <v>114</v>
      </c>
      <c r="E6" s="6"/>
      <c r="F6" s="3"/>
      <c r="G6" s="3" t="s">
        <v>349</v>
      </c>
      <c r="H6" s="3" t="s">
        <v>350</v>
      </c>
      <c r="I6" s="6"/>
      <c r="J6" s="1"/>
      <c r="K6" s="5" t="s">
        <v>113</v>
      </c>
    </row>
    <row r="7" spans="1:11">
      <c r="A7" s="3" t="s">
        <v>8</v>
      </c>
      <c r="B7" s="3" t="s">
        <v>8</v>
      </c>
      <c r="C7" s="3" t="s">
        <v>8</v>
      </c>
      <c r="D7" s="1" t="s">
        <v>8</v>
      </c>
      <c r="E7" s="6" t="s">
        <v>8</v>
      </c>
      <c r="F7" s="3" t="s">
        <v>8</v>
      </c>
      <c r="G7" s="3" t="s">
        <v>8</v>
      </c>
      <c r="H7" s="1" t="s">
        <v>8</v>
      </c>
      <c r="I7" s="6" t="s">
        <v>8</v>
      </c>
      <c r="J7" s="1" t="s">
        <v>8</v>
      </c>
      <c r="K7" s="5" t="s">
        <v>8</v>
      </c>
    </row>
    <row r="8" spans="1:11">
      <c r="A8" s="8">
        <v>1</v>
      </c>
      <c r="B8" s="8" t="s">
        <v>615</v>
      </c>
      <c r="C8" t="s">
        <v>351</v>
      </c>
      <c r="D8" s="4">
        <v>1</v>
      </c>
      <c r="E8" s="4" t="s">
        <v>352</v>
      </c>
      <c r="F8" t="s">
        <v>353</v>
      </c>
      <c r="G8" s="4">
        <v>8</v>
      </c>
      <c r="H8" s="4">
        <v>1</v>
      </c>
      <c r="I8" t="s">
        <v>1878</v>
      </c>
      <c r="J8" s="4" t="s">
        <v>354</v>
      </c>
      <c r="K8" s="7">
        <v>10002</v>
      </c>
    </row>
    <row r="9" spans="1:11">
      <c r="A9" s="8">
        <v>2</v>
      </c>
      <c r="B9" s="8" t="s">
        <v>616</v>
      </c>
      <c r="C9" t="s">
        <v>355</v>
      </c>
      <c r="D9" s="4">
        <v>2</v>
      </c>
      <c r="E9" s="4" t="s">
        <v>356</v>
      </c>
      <c r="F9" s="25" t="s">
        <v>436</v>
      </c>
      <c r="G9" s="4">
        <v>8</v>
      </c>
      <c r="H9" s="4">
        <v>2</v>
      </c>
      <c r="I9" t="s">
        <v>772</v>
      </c>
      <c r="J9" s="4" t="s">
        <v>357</v>
      </c>
      <c r="K9" s="7">
        <v>10002</v>
      </c>
    </row>
    <row r="10" spans="1:11">
      <c r="A10" s="8">
        <v>3</v>
      </c>
      <c r="B10" s="8" t="s">
        <v>617</v>
      </c>
      <c r="C10" t="s">
        <v>358</v>
      </c>
      <c r="D10" s="4">
        <v>3</v>
      </c>
      <c r="E10" s="4" t="s">
        <v>359</v>
      </c>
      <c r="F10" s="4" t="s">
        <v>360</v>
      </c>
      <c r="G10" s="4">
        <v>8</v>
      </c>
      <c r="H10" s="4">
        <v>3</v>
      </c>
      <c r="I10" t="s">
        <v>773</v>
      </c>
      <c r="J10" s="4" t="s">
        <v>361</v>
      </c>
      <c r="K10" s="7">
        <v>10002</v>
      </c>
    </row>
    <row r="11" spans="1:11">
      <c r="A11" s="8">
        <v>4</v>
      </c>
      <c r="B11" s="8" t="s">
        <v>618</v>
      </c>
      <c r="C11" t="s">
        <v>362</v>
      </c>
      <c r="D11" s="4">
        <v>4</v>
      </c>
      <c r="E11" s="4" t="s">
        <v>363</v>
      </c>
      <c r="F11" t="s">
        <v>364</v>
      </c>
      <c r="G11" s="4">
        <v>8</v>
      </c>
      <c r="H11" s="4">
        <v>4</v>
      </c>
      <c r="I11" t="s">
        <v>774</v>
      </c>
      <c r="J11" s="4" t="s">
        <v>365</v>
      </c>
      <c r="K11" s="7">
        <v>10002</v>
      </c>
    </row>
    <row r="12" spans="1:11">
      <c r="A12" s="8">
        <v>5</v>
      </c>
      <c r="B12" s="8" t="s">
        <v>619</v>
      </c>
      <c r="C12" t="s">
        <v>366</v>
      </c>
      <c r="D12" s="4">
        <v>5</v>
      </c>
      <c r="E12" s="4" t="s">
        <v>367</v>
      </c>
      <c r="F12" s="4" t="s">
        <v>368</v>
      </c>
      <c r="G12" s="4">
        <v>8</v>
      </c>
      <c r="H12" s="4">
        <v>5</v>
      </c>
      <c r="I12" t="s">
        <v>775</v>
      </c>
      <c r="J12" s="4" t="s">
        <v>369</v>
      </c>
      <c r="K12" s="7">
        <v>10002</v>
      </c>
    </row>
    <row r="13" spans="1:11">
      <c r="A13" s="8">
        <v>6</v>
      </c>
      <c r="B13" s="8" t="s">
        <v>620</v>
      </c>
      <c r="C13" t="s">
        <v>370</v>
      </c>
      <c r="D13" s="4">
        <v>6</v>
      </c>
      <c r="E13" s="4" t="s">
        <v>371</v>
      </c>
      <c r="F13" s="4" t="s">
        <v>372</v>
      </c>
      <c r="G13" s="4">
        <v>8</v>
      </c>
      <c r="H13" s="4">
        <v>6</v>
      </c>
      <c r="I13" s="4" t="s">
        <v>776</v>
      </c>
      <c r="J13" s="4" t="s">
        <v>373</v>
      </c>
      <c r="K13" s="7">
        <v>10002</v>
      </c>
    </row>
    <row r="14" spans="1:11">
      <c r="A14" s="8">
        <v>7</v>
      </c>
      <c r="B14" s="8" t="s">
        <v>621</v>
      </c>
      <c r="C14" t="s">
        <v>374</v>
      </c>
      <c r="D14" s="4">
        <v>7</v>
      </c>
      <c r="E14" s="4" t="s">
        <v>375</v>
      </c>
      <c r="F14" s="4" t="s">
        <v>376</v>
      </c>
      <c r="G14" s="4">
        <v>8</v>
      </c>
      <c r="H14" s="4">
        <v>7</v>
      </c>
      <c r="I14" s="4" t="s">
        <v>777</v>
      </c>
      <c r="J14" s="4" t="s">
        <v>377</v>
      </c>
      <c r="K14" s="7">
        <v>10002</v>
      </c>
    </row>
    <row r="15" spans="1:11">
      <c r="A15" s="8">
        <v>8</v>
      </c>
      <c r="B15" s="8" t="s">
        <v>622</v>
      </c>
      <c r="C15" t="s">
        <v>378</v>
      </c>
      <c r="D15" s="4">
        <v>8</v>
      </c>
      <c r="E15" s="4" t="s">
        <v>379</v>
      </c>
      <c r="F15" t="s">
        <v>380</v>
      </c>
      <c r="G15" s="4">
        <v>8</v>
      </c>
      <c r="H15" s="4">
        <v>8</v>
      </c>
      <c r="I15" s="4" t="s">
        <v>778</v>
      </c>
      <c r="J15" s="4" t="s">
        <v>381</v>
      </c>
      <c r="K15" s="7">
        <v>10002</v>
      </c>
    </row>
  </sheetData>
  <phoneticPr fontId="15" type="noConversion"/>
  <conditionalFormatting sqref="K6">
    <cfRule type="containsText" dxfId="134" priority="1" operator="containsText" text="请填写">
      <formula>NOT(ISERROR(SEARCH("请填写",K6)))</formula>
    </cfRule>
    <cfRule type="containsText" dxfId="133" priority="2" operator="containsText" text="请填写">
      <formula>NOT(ISERROR(SEARCH("请填写",K6)))</formula>
    </cfRule>
  </conditionalFormatting>
  <conditionalFormatting sqref="A3:A7">
    <cfRule type="containsText" dxfId="132" priority="19" operator="containsText" text="请填写">
      <formula>NOT(ISERROR(SEARCH("请填写",A3)))</formula>
    </cfRule>
  </conditionalFormatting>
  <conditionalFormatting sqref="B1:B2">
    <cfRule type="duplicateValues" dxfId="131" priority="10"/>
  </conditionalFormatting>
  <conditionalFormatting sqref="B3:B7">
    <cfRule type="containsText" dxfId="130" priority="18" operator="containsText" text="请填写">
      <formula>NOT(ISERROR(SEARCH("请填写",B3)))</formula>
    </cfRule>
  </conditionalFormatting>
  <conditionalFormatting sqref="D3:D7">
    <cfRule type="containsText" dxfId="129" priority="3" operator="containsText" text="请填写">
      <formula>NOT(ISERROR(SEARCH("请填写",D3)))</formula>
    </cfRule>
  </conditionalFormatting>
  <conditionalFormatting sqref="E3:E7">
    <cfRule type="containsText" dxfId="128" priority="13" operator="containsText" text="请填写">
      <formula>NOT(ISERROR(SEARCH("请填写",E3)))</formula>
    </cfRule>
  </conditionalFormatting>
  <conditionalFormatting sqref="H3:H7">
    <cfRule type="containsText" dxfId="127" priority="4" operator="containsText" text="请填写">
      <formula>NOT(ISERROR(SEARCH("请填写",H3)))</formula>
    </cfRule>
  </conditionalFormatting>
  <conditionalFormatting sqref="I3:I7">
    <cfRule type="containsText" dxfId="126" priority="16" operator="containsText" text="请填写">
      <formula>NOT(ISERROR(SEARCH("请填写",I3)))</formula>
    </cfRule>
  </conditionalFormatting>
  <conditionalFormatting sqref="J3:J7">
    <cfRule type="containsText" dxfId="125" priority="8" operator="containsText" text="请填写">
      <formula>NOT(ISERROR(SEARCH("请填写",J3)))</formula>
    </cfRule>
    <cfRule type="containsText" dxfId="124" priority="15" operator="containsText" text="请填写">
      <formula>NOT(ISERROR(SEARCH("请填写",J3)))</formula>
    </cfRule>
  </conditionalFormatting>
  <conditionalFormatting sqref="C3:H7">
    <cfRule type="containsText" dxfId="123" priority="17" operator="containsText" text="请填写">
      <formula>NOT(ISERROR(SEARCH("请填写",C3)))</formula>
    </cfRule>
  </conditionalFormatting>
  <conditionalFormatting sqref="C3:D7">
    <cfRule type="containsText" dxfId="122" priority="9" operator="containsText" text="请填写">
      <formula>NOT(ISERROR(SEARCH("请填写",C3)))</formula>
    </cfRule>
  </conditionalFormatting>
  <conditionalFormatting sqref="F3:H7">
    <cfRule type="containsText" dxfId="121" priority="12" operator="containsText" text="请填写">
      <formula>NOT(ISERROR(SEARCH("请填写",F3)))</formula>
    </cfRule>
  </conditionalFormatting>
  <conditionalFormatting sqref="G3:H7">
    <cfRule type="containsText" dxfId="120" priority="5" operator="containsText" text="请填写">
      <formula>NOT(ISERROR(SEARCH("请填写",G3)))</formula>
    </cfRule>
    <cfRule type="containsText" dxfId="119" priority="6" operator="containsText" text="请填写">
      <formula>NOT(ISERROR(SEARCH("请填写",G3)))</formula>
    </cfRule>
  </conditionalFormatting>
  <conditionalFormatting sqref="K3:K5 K7">
    <cfRule type="containsText" dxfId="118" priority="14" operator="containsText" text="请填写">
      <formula>NOT(ISERROR(SEARCH("请填写",K3)))</formula>
    </cfRule>
  </conditionalFormatting>
  <dataValidations count="2">
    <dataValidation type="list" allowBlank="1" showInputMessage="1" showErrorMessage="1" sqref="A3:K3" xr:uid="{00000000-0002-0000-0E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K4" xr:uid="{00000000-0002-0000-0E00-000001000000}">
      <formula1>"All,Server,Client,None"</formula1>
    </dataValidation>
  </dataValidations>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rgb="FFFF0000"/>
  </sheetPr>
  <dimension ref="A1:R412"/>
  <sheetViews>
    <sheetView tabSelected="1" workbookViewId="0">
      <pane ySplit="7" topLeftCell="A403" activePane="bottomLeft" state="frozen"/>
      <selection pane="bottomLeft" activeCell="D419" sqref="D419"/>
    </sheetView>
  </sheetViews>
  <sheetFormatPr defaultColWidth="9" defaultRowHeight="13.5"/>
  <cols>
    <col min="1" max="1" width="9.75" bestFit="1" customWidth="1"/>
    <col min="2" max="2" width="13.625" customWidth="1"/>
    <col min="3" max="3" width="18.375" bestFit="1" customWidth="1"/>
    <col min="4" max="5" width="14.125" customWidth="1"/>
    <col min="6" max="6" width="29.25" customWidth="1"/>
    <col min="7" max="7" width="13.5" customWidth="1"/>
    <col min="8" max="8" width="54.875" bestFit="1" customWidth="1"/>
    <col min="9" max="9" width="30.75" customWidth="1"/>
    <col min="10" max="10" width="17" customWidth="1"/>
    <col min="11" max="11" width="22.75" bestFit="1" customWidth="1"/>
    <col min="12" max="12" width="18.625" customWidth="1"/>
  </cols>
  <sheetData>
    <row r="1" spans="1:12" ht="15.6" customHeight="1">
      <c r="A1" s="140" t="s">
        <v>36</v>
      </c>
      <c r="B1" s="140" t="s">
        <v>382</v>
      </c>
      <c r="C1" s="2" t="s">
        <v>37</v>
      </c>
      <c r="D1" s="140" t="s">
        <v>383</v>
      </c>
      <c r="E1" s="139" t="s">
        <v>1458</v>
      </c>
      <c r="F1" s="141" t="s">
        <v>1459</v>
      </c>
      <c r="G1" s="141" t="s">
        <v>103</v>
      </c>
      <c r="H1" s="142" t="s">
        <v>384</v>
      </c>
      <c r="I1" s="173" t="s">
        <v>2089</v>
      </c>
      <c r="J1" s="141" t="s">
        <v>99</v>
      </c>
      <c r="K1" s="140" t="s">
        <v>65</v>
      </c>
      <c r="L1" s="139" t="s">
        <v>289</v>
      </c>
    </row>
    <row r="2" spans="1:12" ht="18" customHeight="1">
      <c r="A2" s="140" t="s">
        <v>41</v>
      </c>
      <c r="B2" s="140" t="s">
        <v>104</v>
      </c>
      <c r="C2" s="2" t="s">
        <v>42</v>
      </c>
      <c r="D2" s="140" t="s">
        <v>43</v>
      </c>
      <c r="E2" s="139" t="s">
        <v>385</v>
      </c>
      <c r="F2" s="141" t="s">
        <v>643</v>
      </c>
      <c r="G2" s="141" t="s">
        <v>109</v>
      </c>
      <c r="H2" s="142" t="s">
        <v>262</v>
      </c>
      <c r="I2" s="173" t="s">
        <v>2090</v>
      </c>
      <c r="J2" s="141" t="s">
        <v>70</v>
      </c>
      <c r="K2" s="140" t="s">
        <v>68</v>
      </c>
      <c r="L2" s="139" t="s">
        <v>69</v>
      </c>
    </row>
    <row r="3" spans="1:12" ht="15.6" customHeight="1">
      <c r="A3" s="140" t="s">
        <v>46</v>
      </c>
      <c r="B3" s="140" t="s">
        <v>46</v>
      </c>
      <c r="C3" s="140" t="s">
        <v>47</v>
      </c>
      <c r="D3" s="140" t="s">
        <v>47</v>
      </c>
      <c r="E3" s="139" t="s">
        <v>46</v>
      </c>
      <c r="F3" s="141" t="s">
        <v>47</v>
      </c>
      <c r="G3" s="141" t="s">
        <v>46</v>
      </c>
      <c r="H3" s="142" t="s">
        <v>47</v>
      </c>
      <c r="I3" s="141" t="s">
        <v>46</v>
      </c>
      <c r="J3" s="141" t="s">
        <v>46</v>
      </c>
      <c r="K3" s="140" t="s">
        <v>47</v>
      </c>
      <c r="L3" s="139" t="s">
        <v>47</v>
      </c>
    </row>
    <row r="4" spans="1:12" ht="17.45" customHeight="1">
      <c r="A4" s="140" t="s">
        <v>48</v>
      </c>
      <c r="B4" s="140" t="s">
        <v>49</v>
      </c>
      <c r="C4" s="140" t="s">
        <v>49</v>
      </c>
      <c r="D4" s="140" t="s">
        <v>50</v>
      </c>
      <c r="E4" s="139" t="s">
        <v>49</v>
      </c>
      <c r="F4" s="141" t="s">
        <v>644</v>
      </c>
      <c r="G4" s="141" t="s">
        <v>49</v>
      </c>
      <c r="H4" s="142" t="s">
        <v>48</v>
      </c>
      <c r="I4" s="173" t="s">
        <v>49</v>
      </c>
      <c r="J4" s="141" t="s">
        <v>48</v>
      </c>
      <c r="K4" s="140" t="s">
        <v>49</v>
      </c>
      <c r="L4" s="139" t="s">
        <v>50</v>
      </c>
    </row>
    <row r="5" spans="1:12" ht="13.9" customHeight="1">
      <c r="A5" s="140" t="s">
        <v>51</v>
      </c>
      <c r="B5" s="140"/>
      <c r="C5" s="140"/>
      <c r="D5" s="140"/>
      <c r="E5" s="139"/>
      <c r="F5" s="141"/>
      <c r="G5" s="141" t="s">
        <v>114</v>
      </c>
      <c r="H5" s="142"/>
      <c r="I5" s="173"/>
      <c r="J5" s="141"/>
      <c r="K5" s="140"/>
      <c r="L5" s="139"/>
    </row>
    <row r="6" spans="1:12" ht="121.5">
      <c r="A6" s="140" t="s">
        <v>1122</v>
      </c>
      <c r="B6" s="140" t="s">
        <v>1040</v>
      </c>
      <c r="C6" s="140"/>
      <c r="D6" s="140"/>
      <c r="E6" s="139" t="s">
        <v>387</v>
      </c>
      <c r="F6" s="143" t="s">
        <v>645</v>
      </c>
      <c r="G6" s="143"/>
      <c r="H6" s="142" t="s">
        <v>1123</v>
      </c>
      <c r="I6" s="173" t="s">
        <v>2252</v>
      </c>
      <c r="J6" s="141" t="s">
        <v>113</v>
      </c>
      <c r="K6" s="140"/>
      <c r="L6" s="139"/>
    </row>
    <row r="7" spans="1:12">
      <c r="A7" s="140" t="s">
        <v>8</v>
      </c>
      <c r="B7" s="140" t="s">
        <v>8</v>
      </c>
      <c r="C7" s="140" t="s">
        <v>8</v>
      </c>
      <c r="D7" s="140" t="s">
        <v>8</v>
      </c>
      <c r="E7" s="139" t="s">
        <v>8</v>
      </c>
      <c r="F7" s="141"/>
      <c r="G7" s="141" t="s">
        <v>8</v>
      </c>
      <c r="H7" s="142" t="s">
        <v>8</v>
      </c>
      <c r="I7" s="173" t="s">
        <v>1456</v>
      </c>
      <c r="J7" s="141" t="s">
        <v>8</v>
      </c>
      <c r="K7" s="140"/>
      <c r="L7" s="139"/>
    </row>
    <row r="8" spans="1:12">
      <c r="A8" s="48">
        <v>1</v>
      </c>
      <c r="B8" s="48">
        <v>2</v>
      </c>
      <c r="C8" s="49" t="s">
        <v>1108</v>
      </c>
      <c r="D8" s="97" t="s">
        <v>1094</v>
      </c>
      <c r="E8" s="48">
        <v>10001</v>
      </c>
      <c r="F8" s="50" t="s">
        <v>435</v>
      </c>
      <c r="G8" s="48">
        <v>1</v>
      </c>
      <c r="H8" s="20" t="s">
        <v>780</v>
      </c>
      <c r="I8" s="4">
        <v>0</v>
      </c>
      <c r="J8" s="20">
        <v>200001</v>
      </c>
      <c r="K8" t="s">
        <v>1609</v>
      </c>
      <c r="L8" s="27" t="s">
        <v>1604</v>
      </c>
    </row>
    <row r="9" spans="1:12">
      <c r="A9" s="48">
        <v>2</v>
      </c>
      <c r="B9" s="48">
        <v>2</v>
      </c>
      <c r="C9" s="49" t="s">
        <v>623</v>
      </c>
      <c r="D9" s="48" t="s">
        <v>413</v>
      </c>
      <c r="E9" s="48">
        <v>10001</v>
      </c>
      <c r="F9" s="50" t="s">
        <v>435</v>
      </c>
      <c r="G9" s="48">
        <v>2</v>
      </c>
      <c r="H9" s="48" t="s">
        <v>414</v>
      </c>
      <c r="I9">
        <v>0</v>
      </c>
      <c r="J9" s="48">
        <v>200001</v>
      </c>
      <c r="K9" t="s">
        <v>1879</v>
      </c>
      <c r="L9" s="27" t="s">
        <v>1765</v>
      </c>
    </row>
    <row r="10" spans="1:12">
      <c r="A10" s="48">
        <v>3</v>
      </c>
      <c r="B10" s="48">
        <v>2</v>
      </c>
      <c r="C10" s="49" t="s">
        <v>624</v>
      </c>
      <c r="D10" s="48" t="s">
        <v>415</v>
      </c>
      <c r="E10" s="48">
        <v>10001</v>
      </c>
      <c r="F10" s="50" t="s">
        <v>435</v>
      </c>
      <c r="G10" s="48">
        <v>3</v>
      </c>
      <c r="H10" s="48" t="s">
        <v>416</v>
      </c>
      <c r="I10" s="4">
        <v>0</v>
      </c>
      <c r="J10" s="20">
        <v>200001</v>
      </c>
      <c r="K10" t="s">
        <v>1583</v>
      </c>
      <c r="L10" s="27" t="s">
        <v>1580</v>
      </c>
    </row>
    <row r="11" spans="1:12">
      <c r="A11" s="48">
        <v>4</v>
      </c>
      <c r="B11" s="48">
        <v>2</v>
      </c>
      <c r="C11" s="49" t="s">
        <v>1093</v>
      </c>
      <c r="D11" s="48" t="s">
        <v>417</v>
      </c>
      <c r="E11" s="48">
        <v>10001</v>
      </c>
      <c r="F11" s="50" t="s">
        <v>435</v>
      </c>
      <c r="G11" s="48">
        <v>4</v>
      </c>
      <c r="H11" s="48" t="s">
        <v>418</v>
      </c>
      <c r="I11">
        <v>0</v>
      </c>
      <c r="J11" s="48">
        <v>200001</v>
      </c>
      <c r="K11" t="s">
        <v>1584</v>
      </c>
      <c r="L11" s="27" t="s">
        <v>1579</v>
      </c>
    </row>
    <row r="12" spans="1:12">
      <c r="A12" s="48">
        <v>5</v>
      </c>
      <c r="B12" s="20">
        <v>2</v>
      </c>
      <c r="C12" s="20" t="s">
        <v>625</v>
      </c>
      <c r="D12" s="20" t="s">
        <v>388</v>
      </c>
      <c r="E12" s="48">
        <v>10001</v>
      </c>
      <c r="F12" s="57" t="s">
        <v>435</v>
      </c>
      <c r="G12" s="48">
        <v>5</v>
      </c>
      <c r="H12" s="20" t="s">
        <v>419</v>
      </c>
      <c r="I12" s="4">
        <v>0</v>
      </c>
      <c r="J12" s="20">
        <v>200001</v>
      </c>
      <c r="K12" t="s">
        <v>1880</v>
      </c>
      <c r="L12" s="27" t="s">
        <v>1766</v>
      </c>
    </row>
    <row r="13" spans="1:12">
      <c r="A13" s="48">
        <v>6</v>
      </c>
      <c r="B13" s="20">
        <v>2</v>
      </c>
      <c r="C13" s="20" t="s">
        <v>1111</v>
      </c>
      <c r="D13" s="20" t="s">
        <v>420</v>
      </c>
      <c r="E13" s="48">
        <v>10001</v>
      </c>
      <c r="F13" s="57" t="s">
        <v>435</v>
      </c>
      <c r="G13" s="48">
        <v>6</v>
      </c>
      <c r="H13" s="20" t="s">
        <v>421</v>
      </c>
      <c r="I13">
        <v>0</v>
      </c>
      <c r="J13" s="48">
        <v>200001</v>
      </c>
      <c r="K13" t="s">
        <v>1585</v>
      </c>
      <c r="L13" s="27" t="s">
        <v>1581</v>
      </c>
    </row>
    <row r="14" spans="1:12">
      <c r="A14" s="48">
        <v>7</v>
      </c>
      <c r="B14" s="48">
        <v>2</v>
      </c>
      <c r="C14" s="49" t="s">
        <v>1109</v>
      </c>
      <c r="D14" s="49" t="s">
        <v>1590</v>
      </c>
      <c r="E14" s="48">
        <v>10001</v>
      </c>
      <c r="F14" s="50" t="s">
        <v>435</v>
      </c>
      <c r="G14" s="48">
        <v>7</v>
      </c>
      <c r="H14" s="48" t="s">
        <v>422</v>
      </c>
      <c r="I14" s="4">
        <v>0</v>
      </c>
      <c r="J14" s="20">
        <v>200001</v>
      </c>
      <c r="K14" t="s">
        <v>1610</v>
      </c>
      <c r="L14" s="27" t="s">
        <v>1602</v>
      </c>
    </row>
    <row r="15" spans="1:12" ht="148.5">
      <c r="A15" s="48">
        <v>8</v>
      </c>
      <c r="B15" s="48">
        <v>2</v>
      </c>
      <c r="C15" s="49" t="s">
        <v>626</v>
      </c>
      <c r="D15" s="49" t="s">
        <v>1591</v>
      </c>
      <c r="E15" s="48">
        <v>10001</v>
      </c>
      <c r="F15" s="50" t="s">
        <v>435</v>
      </c>
      <c r="G15" s="48">
        <v>8</v>
      </c>
      <c r="H15" s="49" t="s">
        <v>1575</v>
      </c>
      <c r="I15">
        <v>0</v>
      </c>
      <c r="J15" s="48">
        <v>200001</v>
      </c>
      <c r="K15" t="s">
        <v>1881</v>
      </c>
      <c r="L15" s="87" t="s">
        <v>1767</v>
      </c>
    </row>
    <row r="16" spans="1:12">
      <c r="A16" s="48">
        <v>9</v>
      </c>
      <c r="B16" s="48">
        <v>2</v>
      </c>
      <c r="C16" s="49" t="s">
        <v>627</v>
      </c>
      <c r="D16" s="49" t="s">
        <v>1592</v>
      </c>
      <c r="E16" s="48">
        <v>10001</v>
      </c>
      <c r="F16" s="50" t="s">
        <v>435</v>
      </c>
      <c r="G16" s="48">
        <v>9</v>
      </c>
      <c r="H16" s="48" t="s">
        <v>423</v>
      </c>
      <c r="I16" s="4">
        <v>0</v>
      </c>
      <c r="J16" s="20">
        <v>200001</v>
      </c>
      <c r="K16" t="s">
        <v>1611</v>
      </c>
      <c r="L16" s="27" t="s">
        <v>1603</v>
      </c>
    </row>
    <row r="17" spans="1:12">
      <c r="A17" s="48">
        <v>10</v>
      </c>
      <c r="B17" s="48">
        <v>2</v>
      </c>
      <c r="C17" s="49" t="s">
        <v>628</v>
      </c>
      <c r="D17" s="48" t="s">
        <v>424</v>
      </c>
      <c r="E17" s="48">
        <v>10001</v>
      </c>
      <c r="F17" s="50" t="s">
        <v>435</v>
      </c>
      <c r="G17" s="48">
        <v>10</v>
      </c>
      <c r="H17" s="48" t="s">
        <v>425</v>
      </c>
      <c r="I17">
        <v>0</v>
      </c>
      <c r="J17" s="48">
        <v>200001</v>
      </c>
      <c r="K17" t="s">
        <v>1586</v>
      </c>
      <c r="L17" s="27" t="s">
        <v>1582</v>
      </c>
    </row>
    <row r="18" spans="1:12">
      <c r="A18" s="48">
        <v>11</v>
      </c>
      <c r="B18" s="4">
        <v>2</v>
      </c>
      <c r="C18" s="4" t="s">
        <v>629</v>
      </c>
      <c r="D18" s="4" t="s">
        <v>88</v>
      </c>
      <c r="E18" s="48">
        <v>10001</v>
      </c>
      <c r="F18" s="209" t="s">
        <v>435</v>
      </c>
      <c r="G18" s="48">
        <v>11</v>
      </c>
      <c r="H18" s="4" t="s">
        <v>426</v>
      </c>
      <c r="I18" s="4">
        <v>0</v>
      </c>
      <c r="J18" s="20">
        <v>200001</v>
      </c>
      <c r="K18" t="s">
        <v>1612</v>
      </c>
      <c r="L18" s="27" t="s">
        <v>1594</v>
      </c>
    </row>
    <row r="19" spans="1:12">
      <c r="A19" s="48">
        <v>12</v>
      </c>
      <c r="B19" s="4">
        <v>2</v>
      </c>
      <c r="C19" s="4" t="s">
        <v>1113</v>
      </c>
      <c r="D19" s="4" t="s">
        <v>1593</v>
      </c>
      <c r="E19" s="48">
        <v>10001</v>
      </c>
      <c r="F19" s="209" t="s">
        <v>435</v>
      </c>
      <c r="G19" s="48">
        <v>12</v>
      </c>
      <c r="H19" s="4" t="s">
        <v>427</v>
      </c>
      <c r="I19">
        <v>0</v>
      </c>
      <c r="J19" s="48">
        <v>200001</v>
      </c>
      <c r="K19" t="s">
        <v>1613</v>
      </c>
      <c r="L19" s="27" t="s">
        <v>1601</v>
      </c>
    </row>
    <row r="20" spans="1:12">
      <c r="A20" s="48">
        <v>13</v>
      </c>
      <c r="B20" s="4">
        <v>2</v>
      </c>
      <c r="C20" s="4" t="s">
        <v>1542</v>
      </c>
      <c r="D20" s="4" t="s">
        <v>1543</v>
      </c>
      <c r="E20" s="4">
        <v>100</v>
      </c>
      <c r="F20" s="209" t="s">
        <v>1544</v>
      </c>
      <c r="G20" s="48">
        <v>13</v>
      </c>
      <c r="H20" s="4" t="s">
        <v>1545</v>
      </c>
      <c r="I20" s="4">
        <v>0</v>
      </c>
      <c r="J20" s="4">
        <v>10000</v>
      </c>
      <c r="K20" s="4"/>
    </row>
    <row r="21" spans="1:12">
      <c r="A21" s="48">
        <v>14</v>
      </c>
      <c r="B21">
        <v>2</v>
      </c>
      <c r="C21" s="27" t="s">
        <v>1546</v>
      </c>
      <c r="D21" s="4" t="s">
        <v>1547</v>
      </c>
      <c r="E21" s="4">
        <v>100</v>
      </c>
      <c r="F21" s="210" t="s">
        <v>1544</v>
      </c>
      <c r="G21" s="48">
        <v>14</v>
      </c>
      <c r="H21" t="s">
        <v>1548</v>
      </c>
      <c r="I21">
        <v>0</v>
      </c>
      <c r="J21" s="4">
        <v>10000</v>
      </c>
      <c r="K21" s="4"/>
    </row>
    <row r="22" spans="1:12">
      <c r="A22" s="48">
        <v>15</v>
      </c>
      <c r="B22">
        <v>2</v>
      </c>
      <c r="C22" s="27" t="s">
        <v>1549</v>
      </c>
      <c r="D22" s="4" t="s">
        <v>1550</v>
      </c>
      <c r="E22" s="4">
        <v>100</v>
      </c>
      <c r="F22" s="210" t="s">
        <v>1544</v>
      </c>
      <c r="G22" s="48">
        <v>15</v>
      </c>
      <c r="H22" t="s">
        <v>1551</v>
      </c>
      <c r="I22" s="4">
        <v>0</v>
      </c>
      <c r="J22" s="4">
        <v>10000</v>
      </c>
      <c r="K22" s="4"/>
    </row>
    <row r="23" spans="1:12">
      <c r="A23" s="48">
        <v>16</v>
      </c>
      <c r="B23">
        <v>2</v>
      </c>
      <c r="C23" s="27" t="s">
        <v>1552</v>
      </c>
      <c r="D23" t="s">
        <v>428</v>
      </c>
      <c r="E23" s="4">
        <v>100</v>
      </c>
      <c r="F23" s="210" t="s">
        <v>1544</v>
      </c>
      <c r="G23" s="48">
        <v>16</v>
      </c>
      <c r="H23" t="s">
        <v>1553</v>
      </c>
      <c r="I23">
        <v>0</v>
      </c>
      <c r="J23" s="4">
        <v>10000</v>
      </c>
      <c r="K23" s="4"/>
    </row>
    <row r="24" spans="1:12">
      <c r="A24" s="48">
        <v>17</v>
      </c>
      <c r="B24">
        <v>2</v>
      </c>
      <c r="C24" s="27" t="s">
        <v>1554</v>
      </c>
      <c r="D24" s="136" t="s">
        <v>429</v>
      </c>
      <c r="E24" s="4">
        <v>100</v>
      </c>
      <c r="F24" s="210" t="s">
        <v>1544</v>
      </c>
      <c r="G24" s="48">
        <v>17</v>
      </c>
      <c r="H24" t="s">
        <v>1555</v>
      </c>
      <c r="I24" s="4">
        <v>0</v>
      </c>
      <c r="J24" s="4">
        <v>10000</v>
      </c>
      <c r="K24" s="4"/>
    </row>
    <row r="25" spans="1:12">
      <c r="A25" s="48">
        <v>18</v>
      </c>
      <c r="B25">
        <v>2</v>
      </c>
      <c r="C25" s="27" t="s">
        <v>1556</v>
      </c>
      <c r="D25" s="136" t="s">
        <v>430</v>
      </c>
      <c r="E25" s="4">
        <v>100</v>
      </c>
      <c r="F25" s="210" t="s">
        <v>1544</v>
      </c>
      <c r="G25" s="48">
        <v>18</v>
      </c>
      <c r="H25" t="s">
        <v>1557</v>
      </c>
      <c r="I25">
        <v>0</v>
      </c>
      <c r="J25" s="4">
        <v>10000</v>
      </c>
      <c r="K25" s="4"/>
    </row>
    <row r="26" spans="1:12">
      <c r="A26" s="48">
        <v>19</v>
      </c>
      <c r="B26">
        <v>2</v>
      </c>
      <c r="C26" s="27" t="s">
        <v>1558</v>
      </c>
      <c r="D26" t="s">
        <v>1559</v>
      </c>
      <c r="E26" s="4">
        <v>100</v>
      </c>
      <c r="F26" s="210" t="s">
        <v>1544</v>
      </c>
      <c r="G26" s="48">
        <v>19</v>
      </c>
      <c r="H26" t="s">
        <v>1560</v>
      </c>
      <c r="I26" s="4">
        <v>0</v>
      </c>
      <c r="J26" s="4">
        <v>10000</v>
      </c>
      <c r="K26" s="4"/>
    </row>
    <row r="27" spans="1:12">
      <c r="A27" s="48">
        <v>20</v>
      </c>
      <c r="B27">
        <v>2</v>
      </c>
      <c r="C27" s="27" t="s">
        <v>1561</v>
      </c>
      <c r="D27" t="s">
        <v>431</v>
      </c>
      <c r="E27" s="4">
        <v>100</v>
      </c>
      <c r="F27" s="210" t="s">
        <v>1544</v>
      </c>
      <c r="G27" s="48">
        <v>20</v>
      </c>
      <c r="H27" t="s">
        <v>1562</v>
      </c>
      <c r="I27">
        <v>0</v>
      </c>
      <c r="J27" s="4">
        <v>10000</v>
      </c>
      <c r="K27" s="4"/>
    </row>
    <row r="28" spans="1:12">
      <c r="A28" s="211">
        <v>101</v>
      </c>
      <c r="B28" s="210">
        <v>1</v>
      </c>
      <c r="C28" s="147" t="s">
        <v>630</v>
      </c>
      <c r="D28" s="99" t="s">
        <v>1124</v>
      </c>
      <c r="E28" s="210">
        <v>1</v>
      </c>
      <c r="F28" s="210" t="s">
        <v>1318</v>
      </c>
      <c r="G28" s="211">
        <v>101</v>
      </c>
      <c r="H28" s="212">
        <v>354</v>
      </c>
      <c r="I28" s="4">
        <v>0</v>
      </c>
      <c r="J28" s="147">
        <v>20001001</v>
      </c>
    </row>
    <row r="29" spans="1:12">
      <c r="A29" s="211">
        <v>102</v>
      </c>
      <c r="B29" s="210">
        <v>1</v>
      </c>
      <c r="C29" s="147" t="s">
        <v>631</v>
      </c>
      <c r="D29" s="147" t="s">
        <v>589</v>
      </c>
      <c r="E29" s="210">
        <v>1</v>
      </c>
      <c r="F29" s="210" t="s">
        <v>1318</v>
      </c>
      <c r="G29" s="211">
        <v>102</v>
      </c>
      <c r="H29" s="212">
        <v>3</v>
      </c>
      <c r="I29">
        <v>0</v>
      </c>
      <c r="J29" s="147">
        <v>20001001</v>
      </c>
    </row>
    <row r="30" spans="1:12">
      <c r="A30" s="211">
        <v>103</v>
      </c>
      <c r="B30" s="210">
        <v>1</v>
      </c>
      <c r="C30" s="147" t="s">
        <v>632</v>
      </c>
      <c r="D30" s="147" t="s">
        <v>590</v>
      </c>
      <c r="E30" s="210">
        <v>1</v>
      </c>
      <c r="F30" s="210" t="s">
        <v>1318</v>
      </c>
      <c r="G30" s="211">
        <v>103</v>
      </c>
      <c r="H30" s="212">
        <v>4</v>
      </c>
      <c r="I30" s="4">
        <v>0</v>
      </c>
      <c r="J30" s="147">
        <v>20001001</v>
      </c>
    </row>
    <row r="31" spans="1:12">
      <c r="A31" s="211">
        <v>104</v>
      </c>
      <c r="B31" s="210">
        <v>1</v>
      </c>
      <c r="C31" s="147" t="s">
        <v>633</v>
      </c>
      <c r="D31" s="147" t="s">
        <v>389</v>
      </c>
      <c r="E31" s="210">
        <v>1</v>
      </c>
      <c r="F31" s="210" t="s">
        <v>1318</v>
      </c>
      <c r="G31" s="211">
        <v>104</v>
      </c>
      <c r="H31" s="212">
        <v>5</v>
      </c>
      <c r="I31">
        <v>0</v>
      </c>
      <c r="J31" s="147">
        <v>20001001</v>
      </c>
    </row>
    <row r="32" spans="1:12">
      <c r="A32" s="211">
        <v>105</v>
      </c>
      <c r="B32" s="210">
        <v>3</v>
      </c>
      <c r="C32" s="213" t="s">
        <v>634</v>
      </c>
      <c r="D32" s="213" t="s">
        <v>1112</v>
      </c>
      <c r="E32" s="210">
        <v>1</v>
      </c>
      <c r="F32" s="210" t="s">
        <v>1318</v>
      </c>
      <c r="G32" s="211">
        <v>105</v>
      </c>
      <c r="H32" s="212">
        <v>101</v>
      </c>
      <c r="I32" s="4">
        <v>0</v>
      </c>
      <c r="J32" s="147">
        <v>20001001</v>
      </c>
    </row>
    <row r="33" spans="1:10">
      <c r="A33" s="211">
        <v>106</v>
      </c>
      <c r="B33" s="41">
        <v>1</v>
      </c>
      <c r="C33" s="42" t="s">
        <v>635</v>
      </c>
      <c r="D33" s="42" t="s">
        <v>591</v>
      </c>
      <c r="E33" s="210">
        <v>1</v>
      </c>
      <c r="F33" s="210" t="s">
        <v>1318</v>
      </c>
      <c r="G33" s="211">
        <v>106</v>
      </c>
      <c r="H33" s="43">
        <v>9</v>
      </c>
      <c r="I33">
        <v>0</v>
      </c>
      <c r="J33" s="147">
        <v>20001002</v>
      </c>
    </row>
    <row r="34" spans="1:10">
      <c r="A34" s="211">
        <v>107</v>
      </c>
      <c r="B34" s="41">
        <v>1</v>
      </c>
      <c r="C34" s="42" t="s">
        <v>636</v>
      </c>
      <c r="D34" s="42" t="s">
        <v>390</v>
      </c>
      <c r="E34" s="210">
        <v>1</v>
      </c>
      <c r="F34" s="210" t="s">
        <v>1318</v>
      </c>
      <c r="G34" s="211">
        <v>107</v>
      </c>
      <c r="H34" s="43">
        <v>10</v>
      </c>
      <c r="I34" s="4">
        <v>0</v>
      </c>
      <c r="J34" s="147">
        <v>20001002</v>
      </c>
    </row>
    <row r="35" spans="1:10">
      <c r="A35" s="211">
        <v>108</v>
      </c>
      <c r="B35" s="41">
        <v>1</v>
      </c>
      <c r="C35" s="42" t="s">
        <v>637</v>
      </c>
      <c r="D35" s="42" t="s">
        <v>587</v>
      </c>
      <c r="E35" s="210">
        <v>1</v>
      </c>
      <c r="F35" s="210" t="s">
        <v>1318</v>
      </c>
      <c r="G35" s="211">
        <v>108</v>
      </c>
      <c r="H35" s="43">
        <v>337</v>
      </c>
      <c r="I35">
        <v>0</v>
      </c>
      <c r="J35" s="147">
        <v>20001002</v>
      </c>
    </row>
    <row r="36" spans="1:10">
      <c r="A36" s="211">
        <v>109</v>
      </c>
      <c r="B36" s="41">
        <v>1</v>
      </c>
      <c r="C36" s="42" t="s">
        <v>638</v>
      </c>
      <c r="D36" s="42" t="s">
        <v>592</v>
      </c>
      <c r="E36" s="210">
        <v>1</v>
      </c>
      <c r="F36" s="210" t="s">
        <v>1318</v>
      </c>
      <c r="G36" s="211">
        <v>109</v>
      </c>
      <c r="H36" s="43">
        <v>11</v>
      </c>
      <c r="I36" s="4">
        <v>0</v>
      </c>
      <c r="J36" s="147">
        <v>20001002</v>
      </c>
    </row>
    <row r="37" spans="1:10">
      <c r="A37" s="211">
        <v>110</v>
      </c>
      <c r="B37" s="41">
        <v>3</v>
      </c>
      <c r="C37" s="90" t="s">
        <v>639</v>
      </c>
      <c r="D37" s="90" t="s">
        <v>1114</v>
      </c>
      <c r="E37" s="210">
        <v>1</v>
      </c>
      <c r="F37" s="210" t="s">
        <v>1318</v>
      </c>
      <c r="G37" s="211">
        <v>110</v>
      </c>
      <c r="H37" s="43">
        <v>102</v>
      </c>
      <c r="I37">
        <v>0</v>
      </c>
      <c r="J37" s="147">
        <v>20001002</v>
      </c>
    </row>
    <row r="38" spans="1:10">
      <c r="A38" s="211">
        <v>111</v>
      </c>
      <c r="B38" s="44">
        <v>1</v>
      </c>
      <c r="C38" s="42" t="s">
        <v>640</v>
      </c>
      <c r="D38" s="42" t="s">
        <v>593</v>
      </c>
      <c r="E38" s="210">
        <v>1</v>
      </c>
      <c r="F38" s="210" t="s">
        <v>1318</v>
      </c>
      <c r="G38" s="211">
        <v>111</v>
      </c>
      <c r="H38" s="42">
        <v>14</v>
      </c>
      <c r="I38" s="4">
        <v>0</v>
      </c>
      <c r="J38" s="147">
        <v>20001002</v>
      </c>
    </row>
    <row r="39" spans="1:10">
      <c r="A39" s="211">
        <v>112</v>
      </c>
      <c r="B39" s="44">
        <v>1</v>
      </c>
      <c r="C39" s="42" t="s">
        <v>641</v>
      </c>
      <c r="D39" s="42" t="s">
        <v>594</v>
      </c>
      <c r="E39" s="210">
        <v>1</v>
      </c>
      <c r="F39" s="210" t="s">
        <v>1318</v>
      </c>
      <c r="G39" s="211">
        <v>112</v>
      </c>
      <c r="H39" s="42">
        <v>15</v>
      </c>
      <c r="I39">
        <v>0</v>
      </c>
      <c r="J39" s="147">
        <v>20001002</v>
      </c>
    </row>
    <row r="40" spans="1:10">
      <c r="A40" s="211">
        <v>113</v>
      </c>
      <c r="B40" s="44">
        <v>1</v>
      </c>
      <c r="C40" s="42" t="s">
        <v>642</v>
      </c>
      <c r="D40" s="42" t="s">
        <v>588</v>
      </c>
      <c r="E40" s="210">
        <v>1</v>
      </c>
      <c r="F40" s="210" t="s">
        <v>1318</v>
      </c>
      <c r="G40" s="211">
        <v>113</v>
      </c>
      <c r="H40" s="42">
        <v>339</v>
      </c>
      <c r="I40" s="4">
        <v>0</v>
      </c>
      <c r="J40" s="147">
        <v>20001002</v>
      </c>
    </row>
    <row r="41" spans="1:10">
      <c r="A41" s="42">
        <v>201</v>
      </c>
      <c r="B41" s="44">
        <v>1</v>
      </c>
      <c r="C41" s="42" t="s">
        <v>1125</v>
      </c>
      <c r="D41" s="42" t="s">
        <v>595</v>
      </c>
      <c r="E41" s="41">
        <v>2</v>
      </c>
      <c r="F41" s="210" t="s">
        <v>1319</v>
      </c>
      <c r="G41" s="42">
        <v>201</v>
      </c>
      <c r="H41" s="42">
        <v>105</v>
      </c>
      <c r="I41">
        <v>0</v>
      </c>
      <c r="J41" s="147">
        <v>20002010</v>
      </c>
    </row>
    <row r="42" spans="1:10">
      <c r="A42" s="42">
        <v>202</v>
      </c>
      <c r="B42" s="44">
        <v>1</v>
      </c>
      <c r="C42" s="42" t="s">
        <v>1126</v>
      </c>
      <c r="D42" s="42" t="s">
        <v>596</v>
      </c>
      <c r="E42" s="41">
        <v>2</v>
      </c>
      <c r="F42" s="210" t="s">
        <v>1319</v>
      </c>
      <c r="G42" s="42">
        <v>202</v>
      </c>
      <c r="H42" s="42">
        <v>106</v>
      </c>
      <c r="I42" s="4">
        <v>0</v>
      </c>
      <c r="J42" s="147">
        <v>20002010</v>
      </c>
    </row>
    <row r="43" spans="1:10">
      <c r="A43" s="42">
        <v>203</v>
      </c>
      <c r="B43" s="44">
        <v>1</v>
      </c>
      <c r="C43" s="42" t="s">
        <v>1127</v>
      </c>
      <c r="D43" s="42" t="s">
        <v>597</v>
      </c>
      <c r="E43" s="41">
        <v>2</v>
      </c>
      <c r="F43" s="210" t="s">
        <v>1319</v>
      </c>
      <c r="G43" s="42">
        <v>203</v>
      </c>
      <c r="H43" s="42">
        <v>18</v>
      </c>
      <c r="I43">
        <v>0</v>
      </c>
      <c r="J43" s="147">
        <v>20002011</v>
      </c>
    </row>
    <row r="44" spans="1:10">
      <c r="A44" s="42">
        <v>204</v>
      </c>
      <c r="B44" s="44">
        <v>1</v>
      </c>
      <c r="C44" s="42" t="s">
        <v>1128</v>
      </c>
      <c r="D44" s="98" t="s">
        <v>602</v>
      </c>
      <c r="E44" s="41">
        <v>2</v>
      </c>
      <c r="F44" s="210" t="s">
        <v>1319</v>
      </c>
      <c r="G44" s="42">
        <v>204</v>
      </c>
      <c r="H44" s="42">
        <v>108</v>
      </c>
      <c r="I44" s="4">
        <v>0</v>
      </c>
      <c r="J44" s="147">
        <v>20002011</v>
      </c>
    </row>
    <row r="45" spans="1:10">
      <c r="A45" s="42">
        <v>205</v>
      </c>
      <c r="B45" s="44">
        <v>1</v>
      </c>
      <c r="C45" s="42" t="s">
        <v>1129</v>
      </c>
      <c r="D45" s="98" t="s">
        <v>603</v>
      </c>
      <c r="E45" s="41">
        <v>2</v>
      </c>
      <c r="F45" s="210" t="s">
        <v>1319</v>
      </c>
      <c r="G45" s="42">
        <v>205</v>
      </c>
      <c r="H45" s="42">
        <v>109</v>
      </c>
      <c r="I45">
        <v>0</v>
      </c>
      <c r="J45" s="147">
        <v>20002011</v>
      </c>
    </row>
    <row r="46" spans="1:10">
      <c r="A46" s="42">
        <v>301</v>
      </c>
      <c r="B46" s="44">
        <v>1</v>
      </c>
      <c r="C46" s="42" t="s">
        <v>1130</v>
      </c>
      <c r="D46" s="42" t="s">
        <v>598</v>
      </c>
      <c r="E46" s="41">
        <v>3</v>
      </c>
      <c r="F46" s="210" t="s">
        <v>1320</v>
      </c>
      <c r="G46" s="42">
        <v>301</v>
      </c>
      <c r="H46" s="42">
        <v>20</v>
      </c>
      <c r="I46" s="4">
        <v>0</v>
      </c>
      <c r="J46" s="147">
        <v>20003010</v>
      </c>
    </row>
    <row r="47" spans="1:10">
      <c r="A47" s="42">
        <v>302</v>
      </c>
      <c r="B47" s="44">
        <v>1</v>
      </c>
      <c r="C47" s="42" t="s">
        <v>1131</v>
      </c>
      <c r="D47" s="42" t="s">
        <v>599</v>
      </c>
      <c r="E47" s="41">
        <v>3</v>
      </c>
      <c r="F47" s="210" t="s">
        <v>1320</v>
      </c>
      <c r="G47" s="42">
        <v>302</v>
      </c>
      <c r="H47" s="42">
        <v>21</v>
      </c>
      <c r="I47">
        <v>0</v>
      </c>
      <c r="J47" s="147">
        <v>20003010</v>
      </c>
    </row>
    <row r="48" spans="1:10">
      <c r="A48" s="42">
        <v>303</v>
      </c>
      <c r="B48" s="44">
        <v>1</v>
      </c>
      <c r="C48" s="42" t="s">
        <v>1132</v>
      </c>
      <c r="D48" s="42" t="s">
        <v>600</v>
      </c>
      <c r="E48" s="41">
        <v>3</v>
      </c>
      <c r="F48" s="210" t="s">
        <v>1320</v>
      </c>
      <c r="G48" s="42">
        <v>303</v>
      </c>
      <c r="H48" s="42">
        <v>22</v>
      </c>
      <c r="I48" s="4">
        <v>0</v>
      </c>
      <c r="J48" s="147">
        <v>20003010</v>
      </c>
    </row>
    <row r="49" spans="1:10">
      <c r="A49" s="42">
        <v>304</v>
      </c>
      <c r="B49" s="44">
        <v>1</v>
      </c>
      <c r="C49" s="42" t="s">
        <v>1133</v>
      </c>
      <c r="D49" s="42" t="s">
        <v>601</v>
      </c>
      <c r="E49" s="41">
        <v>3</v>
      </c>
      <c r="F49" s="210" t="s">
        <v>1320</v>
      </c>
      <c r="G49" s="42">
        <v>304</v>
      </c>
      <c r="H49" s="42">
        <v>23</v>
      </c>
      <c r="I49">
        <v>0</v>
      </c>
      <c r="J49" s="147">
        <v>20003010</v>
      </c>
    </row>
    <row r="50" spans="1:10">
      <c r="A50" s="42">
        <v>305</v>
      </c>
      <c r="B50" s="44">
        <v>3</v>
      </c>
      <c r="C50" s="42" t="s">
        <v>1134</v>
      </c>
      <c r="D50" s="42" t="s">
        <v>1110</v>
      </c>
      <c r="E50" s="41">
        <v>3</v>
      </c>
      <c r="F50" s="210" t="s">
        <v>1320</v>
      </c>
      <c r="G50" s="42">
        <v>305</v>
      </c>
      <c r="H50" s="42">
        <v>201</v>
      </c>
      <c r="I50" s="4">
        <v>0</v>
      </c>
      <c r="J50" s="147">
        <v>20003010</v>
      </c>
    </row>
    <row r="51" spans="1:10">
      <c r="A51">
        <v>401</v>
      </c>
      <c r="B51">
        <v>1</v>
      </c>
      <c r="C51" s="27" t="s">
        <v>1135</v>
      </c>
      <c r="D51" t="s">
        <v>391</v>
      </c>
      <c r="E51">
        <v>4</v>
      </c>
      <c r="F51" s="210" t="s">
        <v>1321</v>
      </c>
      <c r="G51">
        <v>401</v>
      </c>
      <c r="H51" s="4">
        <v>25</v>
      </c>
      <c r="I51">
        <v>0</v>
      </c>
      <c r="J51" s="147">
        <v>20004001</v>
      </c>
    </row>
    <row r="52" spans="1:10">
      <c r="A52">
        <v>402</v>
      </c>
      <c r="B52">
        <v>1</v>
      </c>
      <c r="C52" s="27" t="s">
        <v>1136</v>
      </c>
      <c r="D52" t="s">
        <v>392</v>
      </c>
      <c r="E52">
        <v>4</v>
      </c>
      <c r="F52" s="210" t="s">
        <v>1321</v>
      </c>
      <c r="G52">
        <v>402</v>
      </c>
      <c r="H52" s="4">
        <v>26</v>
      </c>
      <c r="I52" s="4">
        <v>0</v>
      </c>
      <c r="J52" s="147">
        <v>20004002</v>
      </c>
    </row>
    <row r="53" spans="1:10">
      <c r="A53">
        <v>403</v>
      </c>
      <c r="B53">
        <v>1</v>
      </c>
      <c r="C53" s="27" t="s">
        <v>1137</v>
      </c>
      <c r="D53" t="s">
        <v>393</v>
      </c>
      <c r="E53">
        <v>4</v>
      </c>
      <c r="F53" s="210" t="s">
        <v>1321</v>
      </c>
      <c r="G53">
        <v>403</v>
      </c>
      <c r="H53" s="4">
        <v>27</v>
      </c>
      <c r="I53">
        <v>0</v>
      </c>
      <c r="J53" s="147">
        <v>20004003</v>
      </c>
    </row>
    <row r="54" spans="1:10" s="48" customFormat="1">
      <c r="A54">
        <v>404</v>
      </c>
      <c r="B54">
        <v>1</v>
      </c>
      <c r="C54" s="27" t="s">
        <v>1138</v>
      </c>
      <c r="D54" t="s">
        <v>394</v>
      </c>
      <c r="E54">
        <v>4</v>
      </c>
      <c r="F54" s="210" t="s">
        <v>1321</v>
      </c>
      <c r="G54">
        <v>404</v>
      </c>
      <c r="H54" s="4">
        <v>28</v>
      </c>
      <c r="I54" s="4">
        <v>0</v>
      </c>
      <c r="J54" s="147">
        <v>20004005</v>
      </c>
    </row>
    <row r="55" spans="1:10" s="48" customFormat="1">
      <c r="A55">
        <v>405</v>
      </c>
      <c r="B55">
        <v>1</v>
      </c>
      <c r="C55" s="27" t="s">
        <v>1139</v>
      </c>
      <c r="D55" t="s">
        <v>395</v>
      </c>
      <c r="E55">
        <v>4</v>
      </c>
      <c r="F55" s="210" t="s">
        <v>1321</v>
      </c>
      <c r="G55">
        <v>405</v>
      </c>
      <c r="H55" s="4">
        <v>29</v>
      </c>
      <c r="I55">
        <v>0</v>
      </c>
      <c r="J55" s="147">
        <v>20004012</v>
      </c>
    </row>
    <row r="56" spans="1:10" s="48" customFormat="1">
      <c r="A56">
        <v>406</v>
      </c>
      <c r="B56">
        <v>1</v>
      </c>
      <c r="C56" s="27" t="s">
        <v>1140</v>
      </c>
      <c r="D56" t="s">
        <v>396</v>
      </c>
      <c r="E56">
        <v>4</v>
      </c>
      <c r="F56" s="210" t="s">
        <v>1321</v>
      </c>
      <c r="G56">
        <v>406</v>
      </c>
      <c r="H56" s="4">
        <v>30</v>
      </c>
      <c r="I56" s="4">
        <v>0</v>
      </c>
      <c r="J56" s="147">
        <v>20004012</v>
      </c>
    </row>
    <row r="57" spans="1:10" s="48" customFormat="1">
      <c r="A57">
        <v>501</v>
      </c>
      <c r="B57">
        <v>1</v>
      </c>
      <c r="C57" s="27" t="s">
        <v>1141</v>
      </c>
      <c r="D57" t="s">
        <v>397</v>
      </c>
      <c r="E57">
        <v>5</v>
      </c>
      <c r="F57" s="210" t="s">
        <v>1322</v>
      </c>
      <c r="G57">
        <v>501</v>
      </c>
      <c r="H57" s="4">
        <v>31</v>
      </c>
      <c r="I57">
        <v>0</v>
      </c>
      <c r="J57" s="147">
        <v>20005007</v>
      </c>
    </row>
    <row r="58" spans="1:10" s="48" customFormat="1">
      <c r="A58">
        <v>502</v>
      </c>
      <c r="B58">
        <v>1</v>
      </c>
      <c r="C58" s="27" t="s">
        <v>1142</v>
      </c>
      <c r="D58" t="s">
        <v>398</v>
      </c>
      <c r="E58">
        <v>5</v>
      </c>
      <c r="F58" s="210" t="s">
        <v>1322</v>
      </c>
      <c r="G58">
        <v>502</v>
      </c>
      <c r="H58" s="4">
        <v>32</v>
      </c>
      <c r="I58" s="4">
        <v>0</v>
      </c>
      <c r="J58" s="147">
        <v>20005007</v>
      </c>
    </row>
    <row r="59" spans="1:10" s="48" customFormat="1">
      <c r="A59">
        <v>601</v>
      </c>
      <c r="B59">
        <v>1</v>
      </c>
      <c r="C59" s="27" t="s">
        <v>1143</v>
      </c>
      <c r="D59" t="s">
        <v>399</v>
      </c>
      <c r="E59">
        <v>6</v>
      </c>
      <c r="F59" s="210" t="s">
        <v>1323</v>
      </c>
      <c r="G59">
        <v>601</v>
      </c>
      <c r="H59" s="4">
        <v>33</v>
      </c>
      <c r="I59">
        <v>0</v>
      </c>
      <c r="J59" s="147">
        <v>20006005</v>
      </c>
    </row>
    <row r="60" spans="1:10" s="48" customFormat="1">
      <c r="A60">
        <v>602</v>
      </c>
      <c r="B60">
        <v>1</v>
      </c>
      <c r="C60" s="27" t="s">
        <v>1144</v>
      </c>
      <c r="D60" t="s">
        <v>400</v>
      </c>
      <c r="E60">
        <v>6</v>
      </c>
      <c r="F60" s="210" t="s">
        <v>1323</v>
      </c>
      <c r="G60">
        <v>602</v>
      </c>
      <c r="H60" s="4">
        <v>34</v>
      </c>
      <c r="I60" s="4">
        <v>0</v>
      </c>
      <c r="J60" s="147">
        <v>20006005</v>
      </c>
    </row>
    <row r="61" spans="1:10" s="48" customFormat="1">
      <c r="A61">
        <v>603</v>
      </c>
      <c r="B61">
        <v>1</v>
      </c>
      <c r="C61" s="27" t="s">
        <v>1145</v>
      </c>
      <c r="D61" t="s">
        <v>401</v>
      </c>
      <c r="E61">
        <v>6</v>
      </c>
      <c r="F61" s="210" t="s">
        <v>1323</v>
      </c>
      <c r="G61">
        <v>603</v>
      </c>
      <c r="H61" s="4">
        <v>35</v>
      </c>
      <c r="I61">
        <v>0</v>
      </c>
      <c r="J61" s="147">
        <v>20006007</v>
      </c>
    </row>
    <row r="62" spans="1:10" s="48" customFormat="1">
      <c r="A62">
        <v>604</v>
      </c>
      <c r="B62">
        <v>1</v>
      </c>
      <c r="C62" s="27" t="s">
        <v>1146</v>
      </c>
      <c r="D62" t="s">
        <v>402</v>
      </c>
      <c r="E62">
        <v>6</v>
      </c>
      <c r="F62" s="210" t="s">
        <v>1323</v>
      </c>
      <c r="G62">
        <v>604</v>
      </c>
      <c r="H62" s="4">
        <v>36</v>
      </c>
      <c r="I62" s="4">
        <v>0</v>
      </c>
      <c r="J62" s="147">
        <v>20006007</v>
      </c>
    </row>
    <row r="63" spans="1:10" s="48" customFormat="1">
      <c r="A63">
        <v>605</v>
      </c>
      <c r="B63">
        <v>1</v>
      </c>
      <c r="C63" s="27" t="s">
        <v>1147</v>
      </c>
      <c r="D63" t="s">
        <v>403</v>
      </c>
      <c r="E63">
        <v>6</v>
      </c>
      <c r="F63" s="210" t="s">
        <v>1323</v>
      </c>
      <c r="G63">
        <v>605</v>
      </c>
      <c r="H63" s="4">
        <v>37</v>
      </c>
      <c r="I63">
        <v>0</v>
      </c>
      <c r="J63" s="147">
        <v>20006009</v>
      </c>
    </row>
    <row r="64" spans="1:10">
      <c r="A64">
        <v>606</v>
      </c>
      <c r="B64">
        <v>1</v>
      </c>
      <c r="C64" s="27" t="s">
        <v>1148</v>
      </c>
      <c r="D64" s="27" t="s">
        <v>1900</v>
      </c>
      <c r="E64">
        <v>6</v>
      </c>
      <c r="F64" s="210" t="s">
        <v>1323</v>
      </c>
      <c r="G64">
        <v>606</v>
      </c>
      <c r="H64" s="4">
        <v>38</v>
      </c>
      <c r="I64" s="4">
        <v>0</v>
      </c>
      <c r="J64" s="147">
        <v>20006009</v>
      </c>
    </row>
    <row r="65" spans="1:10">
      <c r="A65">
        <v>607</v>
      </c>
      <c r="B65">
        <v>1</v>
      </c>
      <c r="C65" s="27" t="s">
        <v>1149</v>
      </c>
      <c r="D65" t="s">
        <v>404</v>
      </c>
      <c r="E65">
        <v>6</v>
      </c>
      <c r="F65" s="210" t="s">
        <v>1323</v>
      </c>
      <c r="G65">
        <v>607</v>
      </c>
      <c r="H65" s="4">
        <v>39</v>
      </c>
      <c r="I65">
        <v>0</v>
      </c>
      <c r="J65" s="147">
        <v>20006010</v>
      </c>
    </row>
    <row r="66" spans="1:10">
      <c r="A66">
        <v>608</v>
      </c>
      <c r="B66">
        <v>1</v>
      </c>
      <c r="C66" s="27" t="s">
        <v>1150</v>
      </c>
      <c r="D66" t="s">
        <v>405</v>
      </c>
      <c r="E66">
        <v>6</v>
      </c>
      <c r="F66" s="210" t="s">
        <v>1323</v>
      </c>
      <c r="G66">
        <v>608</v>
      </c>
      <c r="H66" s="4">
        <v>40</v>
      </c>
      <c r="I66" s="4">
        <v>0</v>
      </c>
      <c r="J66" s="147">
        <v>20006010</v>
      </c>
    </row>
    <row r="67" spans="1:10">
      <c r="A67">
        <v>701</v>
      </c>
      <c r="B67">
        <v>1</v>
      </c>
      <c r="C67" s="27" t="s">
        <v>1151</v>
      </c>
      <c r="D67" t="s">
        <v>406</v>
      </c>
      <c r="E67">
        <v>7</v>
      </c>
      <c r="F67" s="210" t="s">
        <v>1324</v>
      </c>
      <c r="G67">
        <v>701</v>
      </c>
      <c r="H67" s="4">
        <v>87</v>
      </c>
      <c r="I67">
        <v>0</v>
      </c>
      <c r="J67" s="147">
        <v>20007001</v>
      </c>
    </row>
    <row r="68" spans="1:10">
      <c r="A68">
        <v>702</v>
      </c>
      <c r="B68">
        <v>1</v>
      </c>
      <c r="C68" s="27" t="s">
        <v>1152</v>
      </c>
      <c r="D68" t="s">
        <v>407</v>
      </c>
      <c r="E68">
        <v>7</v>
      </c>
      <c r="F68" s="210" t="s">
        <v>1324</v>
      </c>
      <c r="G68">
        <v>702</v>
      </c>
      <c r="H68" s="4">
        <v>88</v>
      </c>
      <c r="I68" s="4">
        <v>0</v>
      </c>
      <c r="J68" s="147">
        <v>20007001</v>
      </c>
    </row>
    <row r="69" spans="1:10">
      <c r="A69">
        <v>703</v>
      </c>
      <c r="B69">
        <v>1</v>
      </c>
      <c r="C69" s="27" t="s">
        <v>1153</v>
      </c>
      <c r="D69" t="s">
        <v>408</v>
      </c>
      <c r="E69">
        <v>7</v>
      </c>
      <c r="F69" s="210" t="s">
        <v>1324</v>
      </c>
      <c r="G69">
        <v>703</v>
      </c>
      <c r="H69" s="4">
        <v>89</v>
      </c>
      <c r="I69">
        <v>0</v>
      </c>
      <c r="J69" s="147">
        <v>20007002</v>
      </c>
    </row>
    <row r="70" spans="1:10">
      <c r="A70">
        <v>704</v>
      </c>
      <c r="B70">
        <v>1</v>
      </c>
      <c r="C70" s="27" t="s">
        <v>1154</v>
      </c>
      <c r="D70" t="s">
        <v>409</v>
      </c>
      <c r="E70">
        <v>7</v>
      </c>
      <c r="F70" s="210" t="s">
        <v>1324</v>
      </c>
      <c r="G70">
        <v>704</v>
      </c>
      <c r="H70" s="4">
        <v>90</v>
      </c>
      <c r="I70" s="4">
        <v>0</v>
      </c>
      <c r="J70" s="147">
        <v>20007006</v>
      </c>
    </row>
    <row r="71" spans="1:10">
      <c r="A71">
        <v>801</v>
      </c>
      <c r="B71">
        <v>1</v>
      </c>
      <c r="C71" s="27" t="s">
        <v>1155</v>
      </c>
      <c r="D71" t="s">
        <v>410</v>
      </c>
      <c r="E71">
        <v>8</v>
      </c>
      <c r="F71" s="210" t="s">
        <v>1325</v>
      </c>
      <c r="G71">
        <v>801</v>
      </c>
      <c r="H71" s="4">
        <v>93</v>
      </c>
      <c r="I71">
        <v>0</v>
      </c>
      <c r="J71" s="147">
        <v>20008012</v>
      </c>
    </row>
    <row r="72" spans="1:10">
      <c r="A72">
        <v>802</v>
      </c>
      <c r="B72">
        <v>1</v>
      </c>
      <c r="C72" s="27" t="s">
        <v>1156</v>
      </c>
      <c r="D72" t="s">
        <v>411</v>
      </c>
      <c r="E72">
        <v>8</v>
      </c>
      <c r="F72" s="210" t="s">
        <v>1325</v>
      </c>
      <c r="G72">
        <v>802</v>
      </c>
      <c r="H72" s="4">
        <v>94</v>
      </c>
      <c r="I72" s="4">
        <v>0</v>
      </c>
      <c r="J72" s="147">
        <v>20008012</v>
      </c>
    </row>
    <row r="73" spans="1:10">
      <c r="A73">
        <v>803</v>
      </c>
      <c r="B73">
        <v>1</v>
      </c>
      <c r="C73" s="27" t="s">
        <v>1157</v>
      </c>
      <c r="D73" t="s">
        <v>412</v>
      </c>
      <c r="E73">
        <v>8</v>
      </c>
      <c r="F73" s="210" t="s">
        <v>1325</v>
      </c>
      <c r="G73">
        <v>803</v>
      </c>
      <c r="H73" s="4">
        <v>95</v>
      </c>
      <c r="I73">
        <v>0</v>
      </c>
      <c r="J73" s="147">
        <v>20008012</v>
      </c>
    </row>
    <row r="74" spans="1:10">
      <c r="A74">
        <v>901</v>
      </c>
      <c r="B74">
        <v>1</v>
      </c>
      <c r="C74" s="27" t="s">
        <v>1158</v>
      </c>
      <c r="D74" t="s">
        <v>531</v>
      </c>
      <c r="E74">
        <v>9</v>
      </c>
      <c r="F74" s="210" t="s">
        <v>1326</v>
      </c>
      <c r="G74">
        <v>901</v>
      </c>
      <c r="H74">
        <v>223</v>
      </c>
      <c r="I74" s="4">
        <v>0</v>
      </c>
      <c r="J74" s="108">
        <v>20009001</v>
      </c>
    </row>
    <row r="75" spans="1:10">
      <c r="A75">
        <v>902</v>
      </c>
      <c r="B75">
        <v>1</v>
      </c>
      <c r="C75" s="27" t="s">
        <v>1159</v>
      </c>
      <c r="D75" t="s">
        <v>532</v>
      </c>
      <c r="E75">
        <v>9</v>
      </c>
      <c r="F75" s="210" t="s">
        <v>1326</v>
      </c>
      <c r="G75">
        <v>902</v>
      </c>
      <c r="H75">
        <v>224</v>
      </c>
      <c r="I75">
        <v>0</v>
      </c>
      <c r="J75" s="108">
        <v>20009001</v>
      </c>
    </row>
    <row r="76" spans="1:10">
      <c r="A76">
        <v>903</v>
      </c>
      <c r="B76">
        <v>1</v>
      </c>
      <c r="C76" s="27" t="s">
        <v>1160</v>
      </c>
      <c r="D76" t="s">
        <v>533</v>
      </c>
      <c r="E76">
        <v>9</v>
      </c>
      <c r="F76" s="210" t="s">
        <v>1326</v>
      </c>
      <c r="G76">
        <v>903</v>
      </c>
      <c r="H76">
        <v>225</v>
      </c>
      <c r="I76" s="4">
        <v>0</v>
      </c>
      <c r="J76" s="108">
        <v>20009003</v>
      </c>
    </row>
    <row r="77" spans="1:10">
      <c r="A77">
        <v>904</v>
      </c>
      <c r="B77">
        <v>1</v>
      </c>
      <c r="C77" s="27" t="s">
        <v>1161</v>
      </c>
      <c r="D77" t="s">
        <v>534</v>
      </c>
      <c r="E77">
        <v>9</v>
      </c>
      <c r="F77" s="210" t="s">
        <v>1326</v>
      </c>
      <c r="G77">
        <v>904</v>
      </c>
      <c r="H77">
        <v>226</v>
      </c>
      <c r="I77">
        <v>0</v>
      </c>
      <c r="J77" s="108">
        <v>20009007</v>
      </c>
    </row>
    <row r="78" spans="1:10">
      <c r="A78">
        <v>905</v>
      </c>
      <c r="B78">
        <v>1</v>
      </c>
      <c r="C78" s="27" t="s">
        <v>1162</v>
      </c>
      <c r="D78" t="s">
        <v>535</v>
      </c>
      <c r="E78">
        <v>9</v>
      </c>
      <c r="F78" s="210" t="s">
        <v>1326</v>
      </c>
      <c r="G78">
        <v>905</v>
      </c>
      <c r="H78">
        <v>227</v>
      </c>
      <c r="I78" s="4">
        <v>0</v>
      </c>
      <c r="J78" s="108">
        <v>20009007</v>
      </c>
    </row>
    <row r="79" spans="1:10">
      <c r="A79">
        <v>906</v>
      </c>
      <c r="B79">
        <v>1</v>
      </c>
      <c r="C79" s="27" t="s">
        <v>1163</v>
      </c>
      <c r="D79" t="s">
        <v>536</v>
      </c>
      <c r="E79">
        <v>9</v>
      </c>
      <c r="F79" s="210" t="s">
        <v>1326</v>
      </c>
      <c r="G79">
        <v>906</v>
      </c>
      <c r="H79">
        <v>228</v>
      </c>
      <c r="I79">
        <v>0</v>
      </c>
      <c r="J79" s="108">
        <v>20009009</v>
      </c>
    </row>
    <row r="80" spans="1:10">
      <c r="A80">
        <v>907</v>
      </c>
      <c r="B80">
        <v>1</v>
      </c>
      <c r="C80" s="27" t="s">
        <v>1164</v>
      </c>
      <c r="D80" t="s">
        <v>512</v>
      </c>
      <c r="E80">
        <v>9</v>
      </c>
      <c r="F80" s="210" t="s">
        <v>1326</v>
      </c>
      <c r="G80">
        <v>907</v>
      </c>
      <c r="H80">
        <v>229</v>
      </c>
      <c r="I80" s="4">
        <v>0</v>
      </c>
      <c r="J80" s="108">
        <v>20009009</v>
      </c>
    </row>
    <row r="81" spans="1:10">
      <c r="A81">
        <v>1001</v>
      </c>
      <c r="B81">
        <v>1</v>
      </c>
      <c r="C81" s="27" t="s">
        <v>1165</v>
      </c>
      <c r="D81" t="s">
        <v>513</v>
      </c>
      <c r="E81">
        <v>10</v>
      </c>
      <c r="F81" s="210" t="s">
        <v>1327</v>
      </c>
      <c r="G81">
        <v>1001</v>
      </c>
      <c r="H81">
        <v>230</v>
      </c>
      <c r="I81">
        <v>0</v>
      </c>
      <c r="J81" s="113">
        <v>20010006</v>
      </c>
    </row>
    <row r="82" spans="1:10">
      <c r="A82">
        <v>1002</v>
      </c>
      <c r="B82">
        <v>1</v>
      </c>
      <c r="C82" s="27" t="s">
        <v>1166</v>
      </c>
      <c r="D82" t="s">
        <v>514</v>
      </c>
      <c r="E82">
        <v>10</v>
      </c>
      <c r="F82" s="210" t="s">
        <v>1327</v>
      </c>
      <c r="G82">
        <v>1002</v>
      </c>
      <c r="H82">
        <v>231</v>
      </c>
      <c r="I82" s="4">
        <v>0</v>
      </c>
      <c r="J82" s="113">
        <v>20010006</v>
      </c>
    </row>
    <row r="83" spans="1:10">
      <c r="A83">
        <v>1101</v>
      </c>
      <c r="B83">
        <v>1</v>
      </c>
      <c r="C83" s="27" t="s">
        <v>1167</v>
      </c>
      <c r="D83" t="s">
        <v>515</v>
      </c>
      <c r="E83">
        <v>11</v>
      </c>
      <c r="F83" s="210" t="s">
        <v>1328</v>
      </c>
      <c r="G83">
        <v>1101</v>
      </c>
      <c r="H83">
        <v>232</v>
      </c>
      <c r="I83">
        <v>0</v>
      </c>
      <c r="J83" s="115">
        <v>20011007</v>
      </c>
    </row>
    <row r="84" spans="1:10">
      <c r="A84">
        <v>1102</v>
      </c>
      <c r="B84">
        <v>1</v>
      </c>
      <c r="C84" s="27" t="s">
        <v>1168</v>
      </c>
      <c r="D84" t="s">
        <v>516</v>
      </c>
      <c r="E84">
        <v>11</v>
      </c>
      <c r="F84" s="210" t="s">
        <v>1328</v>
      </c>
      <c r="G84">
        <v>1102</v>
      </c>
      <c r="H84">
        <v>233</v>
      </c>
      <c r="I84" s="4">
        <v>0</v>
      </c>
      <c r="J84" s="115">
        <v>20011009</v>
      </c>
    </row>
    <row r="85" spans="1:10">
      <c r="A85">
        <v>1103</v>
      </c>
      <c r="B85">
        <v>1</v>
      </c>
      <c r="C85" s="27" t="s">
        <v>1169</v>
      </c>
      <c r="D85" t="s">
        <v>517</v>
      </c>
      <c r="E85">
        <v>11</v>
      </c>
      <c r="F85" s="210" t="s">
        <v>1328</v>
      </c>
      <c r="G85">
        <v>1103</v>
      </c>
      <c r="H85">
        <v>234</v>
      </c>
      <c r="I85">
        <v>0</v>
      </c>
      <c r="J85" s="115">
        <v>20011012</v>
      </c>
    </row>
    <row r="86" spans="1:10">
      <c r="A86">
        <v>1104</v>
      </c>
      <c r="B86">
        <v>1</v>
      </c>
      <c r="C86" s="27" t="s">
        <v>1170</v>
      </c>
      <c r="D86" t="s">
        <v>518</v>
      </c>
      <c r="E86">
        <v>11</v>
      </c>
      <c r="F86" s="210" t="s">
        <v>1328</v>
      </c>
      <c r="G86">
        <v>1104</v>
      </c>
      <c r="H86">
        <v>235</v>
      </c>
      <c r="I86" s="4">
        <v>0</v>
      </c>
      <c r="J86" s="115">
        <v>20011012</v>
      </c>
    </row>
    <row r="87" spans="1:10" s="32" customFormat="1">
      <c r="A87">
        <v>1105</v>
      </c>
      <c r="B87">
        <v>1</v>
      </c>
      <c r="C87" s="27" t="s">
        <v>1171</v>
      </c>
      <c r="D87" t="s">
        <v>519</v>
      </c>
      <c r="E87">
        <v>11</v>
      </c>
      <c r="F87" s="210" t="s">
        <v>1328</v>
      </c>
      <c r="G87">
        <v>1105</v>
      </c>
      <c r="H87">
        <v>236</v>
      </c>
      <c r="I87">
        <v>0</v>
      </c>
      <c r="J87" s="115">
        <v>20011012</v>
      </c>
    </row>
    <row r="88" spans="1:10" s="32" customFormat="1">
      <c r="A88">
        <v>1201</v>
      </c>
      <c r="B88">
        <v>1</v>
      </c>
      <c r="C88" s="27" t="s">
        <v>1172</v>
      </c>
      <c r="D88" s="100" t="s">
        <v>80</v>
      </c>
      <c r="E88">
        <v>12</v>
      </c>
      <c r="F88" s="210" t="s">
        <v>1329</v>
      </c>
      <c r="G88">
        <v>1201</v>
      </c>
      <c r="H88">
        <v>237</v>
      </c>
      <c r="I88" s="4">
        <v>0</v>
      </c>
      <c r="J88" s="111">
        <v>20012001</v>
      </c>
    </row>
    <row r="89" spans="1:10" s="32" customFormat="1">
      <c r="A89">
        <v>1202</v>
      </c>
      <c r="B89">
        <v>1</v>
      </c>
      <c r="C89" s="27" t="s">
        <v>1173</v>
      </c>
      <c r="D89" s="100" t="s">
        <v>537</v>
      </c>
      <c r="E89">
        <v>12</v>
      </c>
      <c r="F89" s="210" t="s">
        <v>1329</v>
      </c>
      <c r="G89">
        <v>1202</v>
      </c>
      <c r="H89">
        <v>238</v>
      </c>
      <c r="I89">
        <v>0</v>
      </c>
      <c r="J89" s="111">
        <v>20012001</v>
      </c>
    </row>
    <row r="90" spans="1:10" s="32" customFormat="1">
      <c r="A90">
        <v>1203</v>
      </c>
      <c r="B90">
        <v>1</v>
      </c>
      <c r="C90" s="27" t="s">
        <v>1174</v>
      </c>
      <c r="D90" s="100" t="s">
        <v>538</v>
      </c>
      <c r="E90">
        <v>12</v>
      </c>
      <c r="F90" s="210" t="s">
        <v>1329</v>
      </c>
      <c r="G90">
        <v>1203</v>
      </c>
      <c r="H90">
        <v>239</v>
      </c>
      <c r="I90" s="4">
        <v>0</v>
      </c>
      <c r="J90" s="111">
        <v>20012001</v>
      </c>
    </row>
    <row r="91" spans="1:10" s="32" customFormat="1">
      <c r="A91">
        <v>1204</v>
      </c>
      <c r="B91">
        <v>1</v>
      </c>
      <c r="C91" s="27" t="s">
        <v>1175</v>
      </c>
      <c r="D91" s="100" t="s">
        <v>539</v>
      </c>
      <c r="E91">
        <v>12</v>
      </c>
      <c r="F91" s="210" t="s">
        <v>1329</v>
      </c>
      <c r="G91">
        <v>1204</v>
      </c>
      <c r="H91">
        <v>240</v>
      </c>
      <c r="I91">
        <v>0</v>
      </c>
      <c r="J91" s="111">
        <v>20012003</v>
      </c>
    </row>
    <row r="92" spans="1:10" s="32" customFormat="1">
      <c r="A92">
        <v>1205</v>
      </c>
      <c r="B92">
        <v>1</v>
      </c>
      <c r="C92" s="27" t="s">
        <v>1176</v>
      </c>
      <c r="D92" s="100" t="s">
        <v>540</v>
      </c>
      <c r="E92">
        <v>12</v>
      </c>
      <c r="F92" s="210" t="s">
        <v>1329</v>
      </c>
      <c r="G92">
        <v>1205</v>
      </c>
      <c r="H92">
        <v>241</v>
      </c>
      <c r="I92" s="4">
        <v>0</v>
      </c>
      <c r="J92" s="111">
        <v>20012005</v>
      </c>
    </row>
    <row r="93" spans="1:10" s="32" customFormat="1">
      <c r="A93">
        <v>1206</v>
      </c>
      <c r="B93">
        <v>1</v>
      </c>
      <c r="C93" s="27" t="s">
        <v>1177</v>
      </c>
      <c r="D93" s="100" t="s">
        <v>541</v>
      </c>
      <c r="E93">
        <v>12</v>
      </c>
      <c r="F93" s="210" t="s">
        <v>1329</v>
      </c>
      <c r="G93">
        <v>1206</v>
      </c>
      <c r="H93">
        <v>242</v>
      </c>
      <c r="I93">
        <v>0</v>
      </c>
      <c r="J93" s="111">
        <v>20012006</v>
      </c>
    </row>
    <row r="94" spans="1:10" s="32" customFormat="1">
      <c r="A94">
        <v>1207</v>
      </c>
      <c r="B94">
        <v>1</v>
      </c>
      <c r="C94" s="27" t="s">
        <v>1178</v>
      </c>
      <c r="D94" s="100" t="s">
        <v>542</v>
      </c>
      <c r="E94">
        <v>12</v>
      </c>
      <c r="F94" s="210" t="s">
        <v>1329</v>
      </c>
      <c r="G94">
        <v>1207</v>
      </c>
      <c r="H94">
        <v>243</v>
      </c>
      <c r="I94" s="4">
        <v>0</v>
      </c>
      <c r="J94" s="117">
        <v>20012006</v>
      </c>
    </row>
    <row r="95" spans="1:10" s="32" customFormat="1">
      <c r="A95">
        <v>1208</v>
      </c>
      <c r="B95">
        <v>1</v>
      </c>
      <c r="C95" s="27" t="s">
        <v>1179</v>
      </c>
      <c r="D95" t="s">
        <v>520</v>
      </c>
      <c r="E95">
        <v>12</v>
      </c>
      <c r="F95" s="210" t="s">
        <v>1329</v>
      </c>
      <c r="G95">
        <v>1208</v>
      </c>
      <c r="H95">
        <v>244</v>
      </c>
      <c r="I95">
        <v>0</v>
      </c>
      <c r="J95" s="117">
        <v>20012007</v>
      </c>
    </row>
    <row r="96" spans="1:10" s="32" customFormat="1">
      <c r="A96">
        <v>1401</v>
      </c>
      <c r="B96">
        <v>1</v>
      </c>
      <c r="C96" s="27" t="s">
        <v>1180</v>
      </c>
      <c r="D96" t="s">
        <v>521</v>
      </c>
      <c r="E96">
        <v>14</v>
      </c>
      <c r="F96" s="210" t="s">
        <v>1330</v>
      </c>
      <c r="G96">
        <v>1401</v>
      </c>
      <c r="H96">
        <v>245</v>
      </c>
      <c r="I96" s="4">
        <v>0</v>
      </c>
      <c r="J96" s="114">
        <v>20014011</v>
      </c>
    </row>
    <row r="97" spans="1:10" s="32" customFormat="1">
      <c r="A97">
        <v>1402</v>
      </c>
      <c r="B97">
        <v>1</v>
      </c>
      <c r="C97" s="27" t="s">
        <v>1181</v>
      </c>
      <c r="D97" t="s">
        <v>522</v>
      </c>
      <c r="E97">
        <v>14</v>
      </c>
      <c r="F97" s="210" t="s">
        <v>1330</v>
      </c>
      <c r="G97">
        <v>1402</v>
      </c>
      <c r="H97">
        <v>246</v>
      </c>
      <c r="I97">
        <v>0</v>
      </c>
      <c r="J97" s="114">
        <v>20014011</v>
      </c>
    </row>
    <row r="98" spans="1:10" s="32" customFormat="1">
      <c r="A98">
        <v>1501</v>
      </c>
      <c r="B98">
        <v>1</v>
      </c>
      <c r="C98" s="27" t="s">
        <v>1182</v>
      </c>
      <c r="D98" t="s">
        <v>523</v>
      </c>
      <c r="E98">
        <v>15</v>
      </c>
      <c r="F98" s="210" t="s">
        <v>1331</v>
      </c>
      <c r="G98">
        <v>1501</v>
      </c>
      <c r="H98">
        <v>247</v>
      </c>
      <c r="I98" s="4">
        <v>0</v>
      </c>
      <c r="J98" s="116">
        <v>20015001</v>
      </c>
    </row>
    <row r="99" spans="1:10" s="32" customFormat="1">
      <c r="A99">
        <v>1601</v>
      </c>
      <c r="B99">
        <v>1</v>
      </c>
      <c r="C99" s="27" t="s">
        <v>1183</v>
      </c>
      <c r="D99" t="s">
        <v>524</v>
      </c>
      <c r="E99">
        <v>16</v>
      </c>
      <c r="F99" s="210" t="s">
        <v>1332</v>
      </c>
      <c r="G99">
        <v>1601</v>
      </c>
      <c r="H99">
        <v>248</v>
      </c>
      <c r="I99">
        <v>0</v>
      </c>
      <c r="J99" s="120">
        <v>20016010</v>
      </c>
    </row>
    <row r="100" spans="1:10">
      <c r="A100">
        <v>1602</v>
      </c>
      <c r="B100">
        <v>1</v>
      </c>
      <c r="C100" s="27" t="s">
        <v>1184</v>
      </c>
      <c r="D100" t="s">
        <v>525</v>
      </c>
      <c r="E100">
        <v>16</v>
      </c>
      <c r="F100" s="210" t="s">
        <v>1332</v>
      </c>
      <c r="G100">
        <v>1602</v>
      </c>
      <c r="H100">
        <v>249</v>
      </c>
      <c r="I100" s="4">
        <v>0</v>
      </c>
      <c r="J100" s="47">
        <v>20016011</v>
      </c>
    </row>
    <row r="101" spans="1:10">
      <c r="A101">
        <v>1603</v>
      </c>
      <c r="B101">
        <v>1</v>
      </c>
      <c r="C101" s="27" t="s">
        <v>1185</v>
      </c>
      <c r="D101" t="s">
        <v>526</v>
      </c>
      <c r="E101">
        <v>16</v>
      </c>
      <c r="F101" s="210" t="s">
        <v>1332</v>
      </c>
      <c r="G101">
        <v>1603</v>
      </c>
      <c r="H101">
        <v>250</v>
      </c>
      <c r="I101">
        <v>0</v>
      </c>
      <c r="J101" s="47">
        <v>20016011</v>
      </c>
    </row>
    <row r="102" spans="1:10">
      <c r="A102">
        <v>1604</v>
      </c>
      <c r="B102">
        <v>1</v>
      </c>
      <c r="C102" s="27" t="s">
        <v>1186</v>
      </c>
      <c r="D102" t="s">
        <v>527</v>
      </c>
      <c r="E102">
        <v>16</v>
      </c>
      <c r="F102" s="210" t="s">
        <v>1332</v>
      </c>
      <c r="G102">
        <v>1604</v>
      </c>
      <c r="H102">
        <v>251</v>
      </c>
      <c r="I102" s="4">
        <v>0</v>
      </c>
      <c r="J102" s="47">
        <v>20016011</v>
      </c>
    </row>
    <row r="103" spans="1:10">
      <c r="A103">
        <v>1605</v>
      </c>
      <c r="B103">
        <v>1</v>
      </c>
      <c r="C103" s="27" t="s">
        <v>1187</v>
      </c>
      <c r="D103" t="s">
        <v>528</v>
      </c>
      <c r="E103">
        <v>16</v>
      </c>
      <c r="F103" s="210" t="s">
        <v>1332</v>
      </c>
      <c r="G103">
        <v>1605</v>
      </c>
      <c r="H103">
        <v>252</v>
      </c>
      <c r="I103">
        <v>0</v>
      </c>
      <c r="J103" s="47">
        <v>20016012</v>
      </c>
    </row>
    <row r="104" spans="1:10">
      <c r="A104">
        <v>1606</v>
      </c>
      <c r="B104">
        <v>1</v>
      </c>
      <c r="C104" s="27" t="s">
        <v>1188</v>
      </c>
      <c r="D104" t="s">
        <v>529</v>
      </c>
      <c r="E104">
        <v>16</v>
      </c>
      <c r="F104" s="210" t="s">
        <v>1332</v>
      </c>
      <c r="G104">
        <v>1606</v>
      </c>
      <c r="H104">
        <v>253</v>
      </c>
      <c r="I104" s="4">
        <v>0</v>
      </c>
      <c r="J104" s="47">
        <v>20016012</v>
      </c>
    </row>
    <row r="105" spans="1:10">
      <c r="A105">
        <v>1607</v>
      </c>
      <c r="B105">
        <v>1</v>
      </c>
      <c r="C105" s="27" t="s">
        <v>1189</v>
      </c>
      <c r="D105" t="s">
        <v>530</v>
      </c>
      <c r="E105">
        <v>16</v>
      </c>
      <c r="F105" s="210" t="s">
        <v>1332</v>
      </c>
      <c r="G105">
        <v>1607</v>
      </c>
      <c r="H105">
        <v>254</v>
      </c>
      <c r="I105">
        <v>0</v>
      </c>
      <c r="J105" s="47">
        <v>20016012</v>
      </c>
    </row>
    <row r="106" spans="1:10">
      <c r="A106" s="214">
        <v>1701</v>
      </c>
      <c r="B106" s="214">
        <v>1</v>
      </c>
      <c r="C106" s="215" t="s">
        <v>1190</v>
      </c>
      <c r="D106" s="214" t="s">
        <v>468</v>
      </c>
      <c r="E106" s="214">
        <v>17</v>
      </c>
      <c r="F106" s="216" t="s">
        <v>1333</v>
      </c>
      <c r="G106" s="214">
        <v>1701</v>
      </c>
      <c r="H106" s="214">
        <v>174</v>
      </c>
      <c r="I106" s="4">
        <v>0</v>
      </c>
      <c r="J106" s="110">
        <v>20017001</v>
      </c>
    </row>
    <row r="107" spans="1:10">
      <c r="A107" s="214">
        <v>1702</v>
      </c>
      <c r="B107" s="214">
        <v>1</v>
      </c>
      <c r="C107" s="215" t="s">
        <v>1191</v>
      </c>
      <c r="D107" s="214" t="s">
        <v>469</v>
      </c>
      <c r="E107" s="214">
        <v>17</v>
      </c>
      <c r="F107" s="216" t="s">
        <v>1333</v>
      </c>
      <c r="G107" s="214">
        <v>1702</v>
      </c>
      <c r="H107" s="214">
        <v>175</v>
      </c>
      <c r="I107">
        <v>0</v>
      </c>
      <c r="J107" s="110">
        <v>20017001</v>
      </c>
    </row>
    <row r="108" spans="1:10">
      <c r="A108" s="214">
        <v>1703</v>
      </c>
      <c r="B108" s="214">
        <v>1</v>
      </c>
      <c r="C108" s="215" t="s">
        <v>1192</v>
      </c>
      <c r="D108" s="214" t="s">
        <v>470</v>
      </c>
      <c r="E108" s="214">
        <v>17</v>
      </c>
      <c r="F108" s="216" t="s">
        <v>1333</v>
      </c>
      <c r="G108" s="214">
        <v>1703</v>
      </c>
      <c r="H108" s="214">
        <v>176</v>
      </c>
      <c r="I108" s="4">
        <v>0</v>
      </c>
      <c r="J108" s="110">
        <v>20017002</v>
      </c>
    </row>
    <row r="109" spans="1:10">
      <c r="A109" s="214">
        <v>1704</v>
      </c>
      <c r="B109" s="214">
        <v>1</v>
      </c>
      <c r="C109" s="215" t="s">
        <v>1193</v>
      </c>
      <c r="D109" s="214" t="s">
        <v>471</v>
      </c>
      <c r="E109" s="214">
        <v>17</v>
      </c>
      <c r="F109" s="216" t="s">
        <v>1333</v>
      </c>
      <c r="G109" s="214">
        <v>1704</v>
      </c>
      <c r="H109" s="214">
        <v>177</v>
      </c>
      <c r="I109">
        <v>0</v>
      </c>
      <c r="J109" s="110">
        <v>20017006</v>
      </c>
    </row>
    <row r="110" spans="1:10">
      <c r="A110" s="214">
        <v>1705</v>
      </c>
      <c r="B110" s="214">
        <v>1</v>
      </c>
      <c r="C110" s="215" t="s">
        <v>1194</v>
      </c>
      <c r="D110" s="214" t="s">
        <v>472</v>
      </c>
      <c r="E110" s="214">
        <v>17</v>
      </c>
      <c r="F110" s="216" t="s">
        <v>1333</v>
      </c>
      <c r="G110" s="214">
        <v>1705</v>
      </c>
      <c r="H110" s="214">
        <v>178</v>
      </c>
      <c r="I110" s="4">
        <v>0</v>
      </c>
      <c r="J110" s="55">
        <v>20017007</v>
      </c>
    </row>
    <row r="111" spans="1:10">
      <c r="A111" s="214">
        <v>1706</v>
      </c>
      <c r="B111" s="214">
        <v>1</v>
      </c>
      <c r="C111" s="215" t="s">
        <v>1195</v>
      </c>
      <c r="D111" s="214" t="s">
        <v>473</v>
      </c>
      <c r="E111" s="214">
        <v>17</v>
      </c>
      <c r="F111" s="216" t="s">
        <v>1333</v>
      </c>
      <c r="G111" s="214">
        <v>1706</v>
      </c>
      <c r="H111" s="214">
        <v>179</v>
      </c>
      <c r="I111">
        <v>0</v>
      </c>
      <c r="J111" s="55">
        <v>20017007</v>
      </c>
    </row>
    <row r="112" spans="1:10">
      <c r="A112" s="214">
        <v>1707</v>
      </c>
      <c r="B112" s="214">
        <v>1</v>
      </c>
      <c r="C112" s="215" t="s">
        <v>1196</v>
      </c>
      <c r="D112" s="214" t="s">
        <v>474</v>
      </c>
      <c r="E112" s="214">
        <v>17</v>
      </c>
      <c r="F112" s="216" t="s">
        <v>1333</v>
      </c>
      <c r="G112" s="214">
        <v>1707</v>
      </c>
      <c r="H112" s="214">
        <v>180</v>
      </c>
      <c r="I112" s="4">
        <v>0</v>
      </c>
      <c r="J112" s="55">
        <v>20017012</v>
      </c>
    </row>
    <row r="113" spans="1:10">
      <c r="A113">
        <v>1801</v>
      </c>
      <c r="B113">
        <v>1</v>
      </c>
      <c r="C113" s="27" t="s">
        <v>1197</v>
      </c>
      <c r="D113" t="s">
        <v>475</v>
      </c>
      <c r="E113">
        <v>18</v>
      </c>
      <c r="F113" s="210" t="s">
        <v>1334</v>
      </c>
      <c r="G113">
        <v>1801</v>
      </c>
      <c r="H113">
        <v>181</v>
      </c>
      <c r="I113">
        <v>0</v>
      </c>
      <c r="J113" s="47">
        <v>20018001</v>
      </c>
    </row>
    <row r="114" spans="1:10">
      <c r="A114">
        <v>1802</v>
      </c>
      <c r="B114">
        <v>1</v>
      </c>
      <c r="C114" s="27" t="s">
        <v>1198</v>
      </c>
      <c r="D114" s="101" t="s">
        <v>476</v>
      </c>
      <c r="E114">
        <v>18</v>
      </c>
      <c r="F114" s="210" t="s">
        <v>1334</v>
      </c>
      <c r="G114">
        <v>1802</v>
      </c>
      <c r="H114">
        <v>182</v>
      </c>
      <c r="I114" s="4">
        <v>0</v>
      </c>
      <c r="J114" s="47">
        <v>20018002</v>
      </c>
    </row>
    <row r="115" spans="1:10">
      <c r="A115">
        <v>1803</v>
      </c>
      <c r="B115">
        <v>1</v>
      </c>
      <c r="C115" s="27" t="s">
        <v>1199</v>
      </c>
      <c r="D115" s="101" t="s">
        <v>477</v>
      </c>
      <c r="E115">
        <v>18</v>
      </c>
      <c r="F115" s="210" t="s">
        <v>1334</v>
      </c>
      <c r="G115">
        <v>1803</v>
      </c>
      <c r="H115">
        <v>183</v>
      </c>
      <c r="I115">
        <v>0</v>
      </c>
      <c r="J115" s="47">
        <v>20018011</v>
      </c>
    </row>
    <row r="116" spans="1:10">
      <c r="A116">
        <v>1804</v>
      </c>
      <c r="B116">
        <v>1</v>
      </c>
      <c r="C116" s="27" t="s">
        <v>1200</v>
      </c>
      <c r="D116" s="101" t="s">
        <v>478</v>
      </c>
      <c r="E116">
        <v>18</v>
      </c>
      <c r="F116" s="210" t="s">
        <v>1334</v>
      </c>
      <c r="G116">
        <v>1804</v>
      </c>
      <c r="H116">
        <v>184</v>
      </c>
      <c r="I116" s="4">
        <v>0</v>
      </c>
      <c r="J116" s="47">
        <v>20018011</v>
      </c>
    </row>
    <row r="117" spans="1:10">
      <c r="A117">
        <v>1805</v>
      </c>
      <c r="B117">
        <v>1</v>
      </c>
      <c r="C117" s="27" t="s">
        <v>1201</v>
      </c>
      <c r="D117" s="101" t="s">
        <v>479</v>
      </c>
      <c r="E117">
        <v>18</v>
      </c>
      <c r="F117" s="210" t="s">
        <v>1334</v>
      </c>
      <c r="G117">
        <v>1805</v>
      </c>
      <c r="H117">
        <v>185</v>
      </c>
      <c r="I117">
        <v>0</v>
      </c>
      <c r="J117" s="47">
        <v>20018012</v>
      </c>
    </row>
    <row r="118" spans="1:10">
      <c r="A118">
        <v>1806</v>
      </c>
      <c r="B118">
        <v>1</v>
      </c>
      <c r="C118" s="27" t="s">
        <v>1202</v>
      </c>
      <c r="D118" s="102" t="s">
        <v>493</v>
      </c>
      <c r="E118">
        <v>18</v>
      </c>
      <c r="F118" s="210" t="s">
        <v>1334</v>
      </c>
      <c r="G118">
        <v>1806</v>
      </c>
      <c r="H118">
        <v>186</v>
      </c>
      <c r="I118" s="4">
        <v>0</v>
      </c>
      <c r="J118" s="47">
        <v>20018012</v>
      </c>
    </row>
    <row r="119" spans="1:10">
      <c r="A119">
        <v>1901</v>
      </c>
      <c r="B119" s="32">
        <v>1</v>
      </c>
      <c r="C119" s="27" t="s">
        <v>1203</v>
      </c>
      <c r="D119" s="217" t="s">
        <v>494</v>
      </c>
      <c r="E119" s="214">
        <v>19</v>
      </c>
      <c r="F119" s="216" t="s">
        <v>1335</v>
      </c>
      <c r="G119">
        <v>1901</v>
      </c>
      <c r="H119" s="214">
        <v>268</v>
      </c>
      <c r="I119">
        <v>0</v>
      </c>
      <c r="J119" s="112">
        <v>20019005</v>
      </c>
    </row>
    <row r="120" spans="1:10">
      <c r="A120">
        <v>1902</v>
      </c>
      <c r="B120" s="32">
        <v>1</v>
      </c>
      <c r="C120" s="27" t="s">
        <v>1204</v>
      </c>
      <c r="D120" s="217" t="s">
        <v>495</v>
      </c>
      <c r="E120" s="214">
        <v>19</v>
      </c>
      <c r="F120" s="216" t="s">
        <v>1335</v>
      </c>
      <c r="G120">
        <v>1902</v>
      </c>
      <c r="H120" s="214">
        <v>269</v>
      </c>
      <c r="I120" s="4">
        <v>0</v>
      </c>
      <c r="J120" s="112">
        <v>20019005</v>
      </c>
    </row>
    <row r="121" spans="1:10">
      <c r="A121">
        <v>1903</v>
      </c>
      <c r="B121" s="32">
        <v>1</v>
      </c>
      <c r="C121" s="27" t="s">
        <v>1205</v>
      </c>
      <c r="D121" s="214" t="s">
        <v>496</v>
      </c>
      <c r="E121" s="214">
        <v>19</v>
      </c>
      <c r="F121" s="216" t="s">
        <v>1335</v>
      </c>
      <c r="G121">
        <v>1903</v>
      </c>
      <c r="H121" s="214">
        <v>270</v>
      </c>
      <c r="I121">
        <v>0</v>
      </c>
      <c r="J121" s="112">
        <v>20019006</v>
      </c>
    </row>
    <row r="122" spans="1:10">
      <c r="A122">
        <v>1904</v>
      </c>
      <c r="B122" s="32">
        <v>1</v>
      </c>
      <c r="C122" s="27" t="s">
        <v>1206</v>
      </c>
      <c r="D122" s="214" t="s">
        <v>497</v>
      </c>
      <c r="E122" s="214">
        <v>19</v>
      </c>
      <c r="F122" s="216" t="s">
        <v>1335</v>
      </c>
      <c r="G122">
        <v>1904</v>
      </c>
      <c r="H122" s="214">
        <v>271</v>
      </c>
      <c r="I122" s="4">
        <v>0</v>
      </c>
      <c r="J122" s="112">
        <v>20019009</v>
      </c>
    </row>
    <row r="123" spans="1:10">
      <c r="A123">
        <v>1905</v>
      </c>
      <c r="B123" s="32">
        <v>1</v>
      </c>
      <c r="C123" s="27" t="s">
        <v>1207</v>
      </c>
      <c r="D123" s="214" t="s">
        <v>498</v>
      </c>
      <c r="E123" s="214">
        <v>19</v>
      </c>
      <c r="F123" s="216" t="s">
        <v>1335</v>
      </c>
      <c r="G123">
        <v>1905</v>
      </c>
      <c r="H123" s="214">
        <v>272</v>
      </c>
      <c r="I123">
        <v>0</v>
      </c>
      <c r="J123" s="112">
        <v>20019013</v>
      </c>
    </row>
    <row r="124" spans="1:10">
      <c r="A124">
        <v>1906</v>
      </c>
      <c r="B124" s="32">
        <v>1</v>
      </c>
      <c r="C124" s="27" t="s">
        <v>1208</v>
      </c>
      <c r="D124" s="214" t="s">
        <v>499</v>
      </c>
      <c r="E124" s="214">
        <v>19</v>
      </c>
      <c r="F124" s="216" t="s">
        <v>1335</v>
      </c>
      <c r="G124">
        <v>1906</v>
      </c>
      <c r="H124" s="214">
        <v>273</v>
      </c>
      <c r="I124" s="4">
        <v>0</v>
      </c>
      <c r="J124" s="112">
        <v>20019015</v>
      </c>
    </row>
    <row r="125" spans="1:10">
      <c r="A125">
        <v>1907</v>
      </c>
      <c r="B125" s="32">
        <v>1</v>
      </c>
      <c r="C125" s="27" t="s">
        <v>1209</v>
      </c>
      <c r="D125" s="214" t="s">
        <v>500</v>
      </c>
      <c r="E125" s="214">
        <v>19</v>
      </c>
      <c r="F125" s="216" t="s">
        <v>1335</v>
      </c>
      <c r="G125">
        <v>1907</v>
      </c>
      <c r="H125" s="214">
        <v>274</v>
      </c>
      <c r="I125">
        <v>0</v>
      </c>
      <c r="J125" s="51">
        <v>20019015</v>
      </c>
    </row>
    <row r="126" spans="1:10">
      <c r="A126">
        <v>2001</v>
      </c>
      <c r="B126" s="32">
        <v>1</v>
      </c>
      <c r="C126" s="27" t="s">
        <v>1210</v>
      </c>
      <c r="D126" s="32" t="s">
        <v>501</v>
      </c>
      <c r="E126" s="32">
        <v>20</v>
      </c>
      <c r="F126" s="210" t="s">
        <v>1336</v>
      </c>
      <c r="G126">
        <v>2001</v>
      </c>
      <c r="H126" s="32">
        <v>275</v>
      </c>
      <c r="I126" s="4">
        <v>0</v>
      </c>
      <c r="J126" s="109">
        <v>20020001</v>
      </c>
    </row>
    <row r="127" spans="1:10">
      <c r="A127">
        <v>2002</v>
      </c>
      <c r="B127" s="32">
        <v>1</v>
      </c>
      <c r="C127" s="27" t="s">
        <v>1211</v>
      </c>
      <c r="D127" s="32" t="s">
        <v>502</v>
      </c>
      <c r="E127" s="32">
        <v>20</v>
      </c>
      <c r="F127" s="210" t="s">
        <v>1336</v>
      </c>
      <c r="G127">
        <v>2002</v>
      </c>
      <c r="H127" s="32">
        <v>276</v>
      </c>
      <c r="I127">
        <v>0</v>
      </c>
      <c r="J127" s="109">
        <v>20020002</v>
      </c>
    </row>
    <row r="128" spans="1:10">
      <c r="A128">
        <v>2003</v>
      </c>
      <c r="B128" s="32">
        <v>1</v>
      </c>
      <c r="C128" s="27" t="s">
        <v>1212</v>
      </c>
      <c r="D128" s="32" t="s">
        <v>503</v>
      </c>
      <c r="E128" s="32">
        <v>20</v>
      </c>
      <c r="F128" s="210" t="s">
        <v>1336</v>
      </c>
      <c r="G128">
        <v>2003</v>
      </c>
      <c r="H128" s="32">
        <v>277</v>
      </c>
      <c r="I128" s="4">
        <v>0</v>
      </c>
      <c r="J128" s="109">
        <v>20020009</v>
      </c>
    </row>
    <row r="129" spans="1:10">
      <c r="A129">
        <v>2004</v>
      </c>
      <c r="B129" s="32">
        <v>1</v>
      </c>
      <c r="C129" s="27" t="s">
        <v>1213</v>
      </c>
      <c r="D129" s="32" t="s">
        <v>504</v>
      </c>
      <c r="E129" s="32">
        <v>20</v>
      </c>
      <c r="F129" s="210" t="s">
        <v>1336</v>
      </c>
      <c r="G129">
        <v>2004</v>
      </c>
      <c r="H129" s="32">
        <v>278</v>
      </c>
      <c r="I129">
        <v>0</v>
      </c>
      <c r="J129" s="109">
        <v>20020013</v>
      </c>
    </row>
    <row r="130" spans="1:10">
      <c r="A130">
        <v>2005</v>
      </c>
      <c r="B130" s="32">
        <v>1</v>
      </c>
      <c r="C130" s="27" t="s">
        <v>1214</v>
      </c>
      <c r="D130" s="32" t="s">
        <v>505</v>
      </c>
      <c r="E130" s="32">
        <v>20</v>
      </c>
      <c r="F130" s="210" t="s">
        <v>1336</v>
      </c>
      <c r="G130">
        <v>2005</v>
      </c>
      <c r="H130" s="32">
        <v>279</v>
      </c>
      <c r="I130" s="4">
        <v>0</v>
      </c>
      <c r="J130" s="109">
        <v>20020015</v>
      </c>
    </row>
    <row r="131" spans="1:10">
      <c r="A131">
        <v>2006</v>
      </c>
      <c r="B131" s="32">
        <v>1</v>
      </c>
      <c r="C131" s="27" t="s">
        <v>1215</v>
      </c>
      <c r="D131" s="32" t="s">
        <v>506</v>
      </c>
      <c r="E131" s="32">
        <v>20</v>
      </c>
      <c r="F131" s="210" t="s">
        <v>1336</v>
      </c>
      <c r="G131">
        <v>2006</v>
      </c>
      <c r="H131" s="32">
        <v>280</v>
      </c>
      <c r="I131">
        <v>0</v>
      </c>
      <c r="J131" s="109">
        <v>20020015</v>
      </c>
    </row>
    <row r="132" spans="1:10" s="32" customFormat="1" ht="16.5">
      <c r="A132">
        <v>2101</v>
      </c>
      <c r="B132" s="32">
        <v>1</v>
      </c>
      <c r="C132" s="27" t="s">
        <v>1216</v>
      </c>
      <c r="D132" s="37" t="s">
        <v>556</v>
      </c>
      <c r="E132" s="32">
        <v>21</v>
      </c>
      <c r="F132" s="210" t="s">
        <v>1337</v>
      </c>
      <c r="G132">
        <v>2101</v>
      </c>
      <c r="H132" s="32">
        <v>311</v>
      </c>
      <c r="I132" s="4">
        <v>0</v>
      </c>
      <c r="J132" s="56">
        <v>20021001</v>
      </c>
    </row>
    <row r="133" spans="1:10" s="32" customFormat="1" ht="16.5">
      <c r="A133">
        <v>2102</v>
      </c>
      <c r="B133" s="32">
        <v>1</v>
      </c>
      <c r="C133" s="27" t="s">
        <v>1217</v>
      </c>
      <c r="D133" s="37" t="s">
        <v>557</v>
      </c>
      <c r="E133" s="32">
        <v>21</v>
      </c>
      <c r="F133" s="210" t="s">
        <v>1337</v>
      </c>
      <c r="G133">
        <v>2102</v>
      </c>
      <c r="H133" s="32">
        <v>312</v>
      </c>
      <c r="I133">
        <v>0</v>
      </c>
      <c r="J133" s="56">
        <v>20021001</v>
      </c>
    </row>
    <row r="134" spans="1:10" s="32" customFormat="1" ht="16.5">
      <c r="A134">
        <v>2103</v>
      </c>
      <c r="B134" s="32">
        <v>1</v>
      </c>
      <c r="C134" s="27" t="s">
        <v>1218</v>
      </c>
      <c r="D134" s="37" t="s">
        <v>558</v>
      </c>
      <c r="E134" s="32">
        <v>21</v>
      </c>
      <c r="F134" s="210" t="s">
        <v>1337</v>
      </c>
      <c r="G134">
        <v>2103</v>
      </c>
      <c r="H134" s="32">
        <v>313</v>
      </c>
      <c r="I134" s="4">
        <v>0</v>
      </c>
      <c r="J134" s="56">
        <v>20021001</v>
      </c>
    </row>
    <row r="135" spans="1:10" s="32" customFormat="1" ht="16.5">
      <c r="A135">
        <v>2104</v>
      </c>
      <c r="B135" s="32">
        <v>1</v>
      </c>
      <c r="C135" s="27" t="s">
        <v>1219</v>
      </c>
      <c r="D135" s="37" t="s">
        <v>559</v>
      </c>
      <c r="E135" s="32">
        <v>21</v>
      </c>
      <c r="F135" s="210" t="s">
        <v>1337</v>
      </c>
      <c r="G135">
        <v>2104</v>
      </c>
      <c r="H135" s="32">
        <v>314</v>
      </c>
      <c r="I135">
        <v>0</v>
      </c>
      <c r="J135" s="56">
        <v>20021002</v>
      </c>
    </row>
    <row r="136" spans="1:10" s="32" customFormat="1" ht="16.5">
      <c r="A136">
        <v>2105</v>
      </c>
      <c r="B136" s="32">
        <v>1</v>
      </c>
      <c r="C136" s="27" t="s">
        <v>1220</v>
      </c>
      <c r="D136" s="37" t="s">
        <v>560</v>
      </c>
      <c r="E136" s="32">
        <v>21</v>
      </c>
      <c r="F136" s="210" t="s">
        <v>1337</v>
      </c>
      <c r="G136">
        <v>2105</v>
      </c>
      <c r="H136" s="32">
        <v>315</v>
      </c>
      <c r="I136" s="4">
        <v>0</v>
      </c>
      <c r="J136" s="56">
        <v>20021002</v>
      </c>
    </row>
    <row r="137" spans="1:10" s="32" customFormat="1" ht="16.5">
      <c r="A137">
        <v>2106</v>
      </c>
      <c r="B137" s="32">
        <v>1</v>
      </c>
      <c r="C137" s="27" t="s">
        <v>1221</v>
      </c>
      <c r="D137" s="37" t="s">
        <v>561</v>
      </c>
      <c r="E137" s="32">
        <v>21</v>
      </c>
      <c r="F137" s="210" t="s">
        <v>1337</v>
      </c>
      <c r="G137">
        <v>2106</v>
      </c>
      <c r="H137" s="32">
        <v>316</v>
      </c>
      <c r="I137">
        <v>0</v>
      </c>
      <c r="J137" s="56">
        <v>20021002</v>
      </c>
    </row>
    <row r="138" spans="1:10" s="32" customFormat="1" ht="16.5">
      <c r="A138">
        <v>2107</v>
      </c>
      <c r="B138" s="32">
        <v>1</v>
      </c>
      <c r="C138" s="27" t="s">
        <v>1222</v>
      </c>
      <c r="D138" s="37" t="s">
        <v>562</v>
      </c>
      <c r="E138" s="32">
        <v>21</v>
      </c>
      <c r="F138" s="210" t="s">
        <v>1337</v>
      </c>
      <c r="G138">
        <v>2107</v>
      </c>
      <c r="H138" s="32">
        <v>317</v>
      </c>
      <c r="I138" s="4">
        <v>0</v>
      </c>
      <c r="J138" s="56">
        <v>20021005</v>
      </c>
    </row>
    <row r="139" spans="1:10" s="32" customFormat="1" ht="16.5">
      <c r="A139">
        <v>2108</v>
      </c>
      <c r="B139" s="32">
        <v>1</v>
      </c>
      <c r="C139" s="27" t="s">
        <v>1223</v>
      </c>
      <c r="D139" s="37" t="s">
        <v>563</v>
      </c>
      <c r="E139" s="32">
        <v>21</v>
      </c>
      <c r="F139" s="210" t="s">
        <v>1337</v>
      </c>
      <c r="G139">
        <v>2108</v>
      </c>
      <c r="H139" s="32">
        <v>331</v>
      </c>
      <c r="I139">
        <v>0</v>
      </c>
      <c r="J139" s="56">
        <v>20021005</v>
      </c>
    </row>
    <row r="140" spans="1:10" s="32" customFormat="1" ht="16.5">
      <c r="A140">
        <v>2109</v>
      </c>
      <c r="B140" s="32">
        <v>1</v>
      </c>
      <c r="C140" s="27" t="s">
        <v>1224</v>
      </c>
      <c r="D140" s="37" t="s">
        <v>564</v>
      </c>
      <c r="E140" s="32">
        <v>21</v>
      </c>
      <c r="F140" s="210" t="s">
        <v>1337</v>
      </c>
      <c r="G140">
        <v>2109</v>
      </c>
      <c r="H140" s="32">
        <v>318</v>
      </c>
      <c r="I140" s="4">
        <v>0</v>
      </c>
      <c r="J140" s="56">
        <v>20021005</v>
      </c>
    </row>
    <row r="141" spans="1:10" s="32" customFormat="1" ht="16.5">
      <c r="A141">
        <v>2110</v>
      </c>
      <c r="B141" s="32">
        <v>1</v>
      </c>
      <c r="C141" s="27" t="s">
        <v>1225</v>
      </c>
      <c r="D141" s="37" t="s">
        <v>565</v>
      </c>
      <c r="E141" s="32">
        <v>21</v>
      </c>
      <c r="F141" s="210" t="s">
        <v>1337</v>
      </c>
      <c r="G141">
        <v>2110</v>
      </c>
      <c r="H141" s="32">
        <v>319</v>
      </c>
      <c r="I141">
        <v>0</v>
      </c>
      <c r="J141" s="56">
        <v>20021005</v>
      </c>
    </row>
    <row r="142" spans="1:10" s="32" customFormat="1" ht="16.5">
      <c r="A142">
        <v>2111</v>
      </c>
      <c r="B142" s="32">
        <v>1</v>
      </c>
      <c r="C142" s="27" t="s">
        <v>1226</v>
      </c>
      <c r="D142" s="37" t="s">
        <v>566</v>
      </c>
      <c r="E142" s="32">
        <v>21</v>
      </c>
      <c r="F142" s="210" t="s">
        <v>1337</v>
      </c>
      <c r="G142">
        <v>2111</v>
      </c>
      <c r="H142" s="32">
        <v>320</v>
      </c>
      <c r="I142" s="4">
        <v>0</v>
      </c>
      <c r="J142" s="56">
        <v>20021005</v>
      </c>
    </row>
    <row r="143" spans="1:10" s="32" customFormat="1" ht="16.5">
      <c r="A143">
        <v>2112</v>
      </c>
      <c r="B143" s="32">
        <v>1</v>
      </c>
      <c r="C143" s="27" t="s">
        <v>1227</v>
      </c>
      <c r="D143" s="37" t="s">
        <v>567</v>
      </c>
      <c r="E143" s="32">
        <v>21</v>
      </c>
      <c r="F143" s="210" t="s">
        <v>1337</v>
      </c>
      <c r="G143">
        <v>2112</v>
      </c>
      <c r="H143" s="32">
        <v>321</v>
      </c>
      <c r="I143">
        <v>0</v>
      </c>
      <c r="J143" s="56">
        <v>20021006</v>
      </c>
    </row>
    <row r="144" spans="1:10" s="32" customFormat="1" ht="16.5">
      <c r="A144">
        <v>2201</v>
      </c>
      <c r="B144" s="32">
        <v>1</v>
      </c>
      <c r="C144" s="27" t="s">
        <v>1228</v>
      </c>
      <c r="D144" s="37" t="s">
        <v>568</v>
      </c>
      <c r="E144" s="32">
        <v>22</v>
      </c>
      <c r="F144" s="210" t="s">
        <v>1338</v>
      </c>
      <c r="G144">
        <v>2201</v>
      </c>
      <c r="H144" s="32">
        <v>322</v>
      </c>
      <c r="I144" s="4">
        <v>0</v>
      </c>
      <c r="J144" s="52">
        <v>20022006</v>
      </c>
    </row>
    <row r="145" spans="1:10" s="32" customFormat="1" ht="16.5">
      <c r="A145">
        <v>2401</v>
      </c>
      <c r="B145" s="32">
        <v>1</v>
      </c>
      <c r="C145" s="27" t="s">
        <v>1229</v>
      </c>
      <c r="D145" s="37" t="s">
        <v>569</v>
      </c>
      <c r="E145" s="32">
        <v>24</v>
      </c>
      <c r="F145" s="210" t="s">
        <v>1339</v>
      </c>
      <c r="G145">
        <v>2401</v>
      </c>
      <c r="H145" s="32">
        <v>323</v>
      </c>
      <c r="I145">
        <v>0</v>
      </c>
      <c r="J145" s="53">
        <v>20024005</v>
      </c>
    </row>
    <row r="146" spans="1:10" s="32" customFormat="1" ht="16.5">
      <c r="A146">
        <v>2501</v>
      </c>
      <c r="B146" s="32">
        <v>1</v>
      </c>
      <c r="C146" s="27" t="s">
        <v>1230</v>
      </c>
      <c r="D146" s="37" t="s">
        <v>570</v>
      </c>
      <c r="E146" s="32">
        <v>25</v>
      </c>
      <c r="F146" s="210" t="s">
        <v>1340</v>
      </c>
      <c r="G146">
        <v>2501</v>
      </c>
      <c r="H146" s="32">
        <v>324</v>
      </c>
      <c r="I146" s="4">
        <v>0</v>
      </c>
      <c r="J146" s="54">
        <v>20025012</v>
      </c>
    </row>
    <row r="147" spans="1:10" s="32" customFormat="1" ht="16.5">
      <c r="A147">
        <v>2502</v>
      </c>
      <c r="B147" s="32">
        <v>1</v>
      </c>
      <c r="C147" s="27" t="s">
        <v>1231</v>
      </c>
      <c r="D147" s="37" t="s">
        <v>571</v>
      </c>
      <c r="E147" s="32">
        <v>25</v>
      </c>
      <c r="F147" s="210" t="s">
        <v>1340</v>
      </c>
      <c r="G147">
        <v>2502</v>
      </c>
      <c r="H147" s="32">
        <v>325</v>
      </c>
      <c r="I147">
        <v>0</v>
      </c>
      <c r="J147" s="54">
        <v>20025012</v>
      </c>
    </row>
    <row r="148" spans="1:10" s="32" customFormat="1" ht="16.5">
      <c r="A148">
        <v>2503</v>
      </c>
      <c r="B148" s="32">
        <v>1</v>
      </c>
      <c r="C148" s="27" t="s">
        <v>1232</v>
      </c>
      <c r="D148" s="37" t="s">
        <v>572</v>
      </c>
      <c r="E148" s="32">
        <v>25</v>
      </c>
      <c r="F148" s="210" t="s">
        <v>1340</v>
      </c>
      <c r="G148">
        <v>2503</v>
      </c>
      <c r="H148" s="32">
        <v>326</v>
      </c>
      <c r="I148" s="4">
        <v>0</v>
      </c>
      <c r="J148" s="54">
        <v>20025012</v>
      </c>
    </row>
    <row r="149" spans="1:10" s="48" customFormat="1" ht="16.5">
      <c r="A149" s="48">
        <v>2601</v>
      </c>
      <c r="B149" s="48">
        <v>3</v>
      </c>
      <c r="C149" s="49" t="s">
        <v>1233</v>
      </c>
      <c r="D149" s="103" t="s">
        <v>1018</v>
      </c>
      <c r="E149" s="48">
        <v>26</v>
      </c>
      <c r="F149" s="210" t="s">
        <v>1341</v>
      </c>
      <c r="G149" s="48">
        <v>2601</v>
      </c>
      <c r="H149" s="24">
        <v>701</v>
      </c>
      <c r="I149">
        <v>0</v>
      </c>
      <c r="J149" s="118">
        <v>20026001</v>
      </c>
    </row>
    <row r="150" spans="1:10" s="48" customFormat="1" ht="16.5">
      <c r="A150" s="48">
        <v>2602</v>
      </c>
      <c r="B150" s="48">
        <v>3</v>
      </c>
      <c r="C150" s="49" t="s">
        <v>1234</v>
      </c>
      <c r="D150" s="103" t="s">
        <v>1065</v>
      </c>
      <c r="E150" s="48">
        <v>26</v>
      </c>
      <c r="F150" s="210" t="s">
        <v>1341</v>
      </c>
      <c r="G150" s="48">
        <v>2602</v>
      </c>
      <c r="H150" s="24">
        <v>702</v>
      </c>
      <c r="I150" s="4">
        <v>0</v>
      </c>
      <c r="J150" s="118">
        <v>20026006</v>
      </c>
    </row>
    <row r="151" spans="1:10" s="48" customFormat="1" ht="16.5">
      <c r="A151" s="48">
        <v>2603</v>
      </c>
      <c r="B151" s="48">
        <v>1</v>
      </c>
      <c r="C151" s="49" t="s">
        <v>1235</v>
      </c>
      <c r="D151" s="91" t="s">
        <v>1121</v>
      </c>
      <c r="E151" s="48">
        <v>26</v>
      </c>
      <c r="F151" s="210" t="s">
        <v>1341</v>
      </c>
      <c r="G151" s="48">
        <v>2603</v>
      </c>
      <c r="H151" s="24">
        <v>355</v>
      </c>
      <c r="I151">
        <v>0</v>
      </c>
      <c r="J151" s="118">
        <v>20026012</v>
      </c>
    </row>
    <row r="152" spans="1:10" s="48" customFormat="1" ht="16.5">
      <c r="A152" s="48">
        <v>2701</v>
      </c>
      <c r="B152" s="48">
        <v>3</v>
      </c>
      <c r="C152" s="49" t="s">
        <v>1236</v>
      </c>
      <c r="D152" s="103" t="s">
        <v>1019</v>
      </c>
      <c r="E152" s="48">
        <v>27</v>
      </c>
      <c r="F152" s="210" t="s">
        <v>1342</v>
      </c>
      <c r="G152" s="48">
        <v>2701</v>
      </c>
      <c r="H152">
        <v>704</v>
      </c>
      <c r="I152" s="4">
        <v>0</v>
      </c>
      <c r="J152" s="93">
        <v>20027001</v>
      </c>
    </row>
    <row r="153" spans="1:10" s="48" customFormat="1" ht="16.5">
      <c r="A153" s="48">
        <v>2702</v>
      </c>
      <c r="B153" s="48">
        <v>3</v>
      </c>
      <c r="C153" s="49" t="s">
        <v>1237</v>
      </c>
      <c r="D153" s="103" t="s">
        <v>1020</v>
      </c>
      <c r="E153" s="48">
        <v>27</v>
      </c>
      <c r="F153" s="210" t="s">
        <v>1342</v>
      </c>
      <c r="G153" s="48">
        <v>2702</v>
      </c>
      <c r="H153" s="86">
        <v>705</v>
      </c>
      <c r="I153">
        <v>0</v>
      </c>
      <c r="J153" s="93">
        <v>20027006</v>
      </c>
    </row>
    <row r="154" spans="1:10" s="48" customFormat="1" ht="16.5">
      <c r="A154" s="48">
        <v>2703</v>
      </c>
      <c r="B154" s="48">
        <v>3</v>
      </c>
      <c r="C154" s="49" t="s">
        <v>1952</v>
      </c>
      <c r="D154" s="92" t="s">
        <v>1901</v>
      </c>
      <c r="E154" s="48">
        <v>27</v>
      </c>
      <c r="F154" s="210" t="s">
        <v>1342</v>
      </c>
      <c r="G154" s="48">
        <v>2703</v>
      </c>
      <c r="H154" s="86">
        <v>706</v>
      </c>
      <c r="I154" s="4">
        <v>0</v>
      </c>
      <c r="J154" s="93">
        <v>20027012</v>
      </c>
    </row>
    <row r="155" spans="1:10" s="48" customFormat="1" ht="16.5">
      <c r="A155" s="48">
        <v>2704</v>
      </c>
      <c r="B155" s="48">
        <v>1</v>
      </c>
      <c r="C155" s="49" t="s">
        <v>1953</v>
      </c>
      <c r="D155" s="92" t="s">
        <v>1902</v>
      </c>
      <c r="E155" s="48">
        <v>27</v>
      </c>
      <c r="F155" s="210" t="s">
        <v>1342</v>
      </c>
      <c r="G155" s="48">
        <v>2704</v>
      </c>
      <c r="H155" s="86">
        <v>356</v>
      </c>
      <c r="I155">
        <v>0</v>
      </c>
      <c r="J155" s="93">
        <v>20027012</v>
      </c>
    </row>
    <row r="156" spans="1:10" s="48" customFormat="1" ht="16.5">
      <c r="A156" s="48">
        <v>2801</v>
      </c>
      <c r="B156" s="48">
        <v>3</v>
      </c>
      <c r="C156" s="49" t="s">
        <v>1238</v>
      </c>
      <c r="D156" s="103" t="s">
        <v>1021</v>
      </c>
      <c r="E156" s="48">
        <v>28</v>
      </c>
      <c r="F156" s="210" t="s">
        <v>1343</v>
      </c>
      <c r="G156" s="48">
        <v>2801</v>
      </c>
      <c r="H156" s="147">
        <v>707</v>
      </c>
      <c r="I156" s="4">
        <v>0</v>
      </c>
      <c r="J156" s="95">
        <v>20028001</v>
      </c>
    </row>
    <row r="157" spans="1:10" s="48" customFormat="1" ht="16.5">
      <c r="A157" s="48">
        <v>2802</v>
      </c>
      <c r="B157" s="48">
        <v>3</v>
      </c>
      <c r="C157" s="49" t="s">
        <v>1239</v>
      </c>
      <c r="D157" s="103" t="s">
        <v>1022</v>
      </c>
      <c r="E157" s="48">
        <v>28</v>
      </c>
      <c r="F157" s="210" t="s">
        <v>1343</v>
      </c>
      <c r="G157" s="48">
        <v>2802</v>
      </c>
      <c r="H157">
        <v>708</v>
      </c>
      <c r="I157">
        <v>0</v>
      </c>
      <c r="J157" s="95">
        <v>20028006</v>
      </c>
    </row>
    <row r="158" spans="1:10" s="48" customFormat="1" ht="16.5">
      <c r="A158" s="48">
        <v>2803</v>
      </c>
      <c r="B158" s="48">
        <v>3</v>
      </c>
      <c r="C158" s="49" t="s">
        <v>1240</v>
      </c>
      <c r="D158" s="103" t="s">
        <v>1023</v>
      </c>
      <c r="E158" s="48">
        <v>28</v>
      </c>
      <c r="F158" s="210" t="s">
        <v>1343</v>
      </c>
      <c r="G158" s="48">
        <v>2803</v>
      </c>
      <c r="H158" s="147">
        <v>709</v>
      </c>
      <c r="I158" s="4">
        <v>0</v>
      </c>
      <c r="J158" s="95">
        <v>20028012</v>
      </c>
    </row>
    <row r="159" spans="1:10" s="48" customFormat="1" ht="16.5">
      <c r="A159" s="48">
        <v>2901</v>
      </c>
      <c r="B159" s="48">
        <v>3</v>
      </c>
      <c r="C159" s="49" t="s">
        <v>1241</v>
      </c>
      <c r="D159" s="103" t="s">
        <v>1024</v>
      </c>
      <c r="E159" s="48">
        <v>29</v>
      </c>
      <c r="F159" s="210" t="s">
        <v>1344</v>
      </c>
      <c r="G159" s="48">
        <v>2901</v>
      </c>
      <c r="H159" s="86">
        <v>710</v>
      </c>
      <c r="I159">
        <v>0</v>
      </c>
      <c r="J159" s="118">
        <v>20029001</v>
      </c>
    </row>
    <row r="160" spans="1:10" ht="16.5">
      <c r="A160" s="48">
        <v>2902</v>
      </c>
      <c r="B160" s="48">
        <v>3</v>
      </c>
      <c r="C160" s="49" t="s">
        <v>1242</v>
      </c>
      <c r="D160" s="103" t="s">
        <v>1066</v>
      </c>
      <c r="E160" s="48">
        <v>29</v>
      </c>
      <c r="F160" s="210" t="s">
        <v>1344</v>
      </c>
      <c r="G160" s="48">
        <v>2902</v>
      </c>
      <c r="H160">
        <v>711</v>
      </c>
      <c r="I160" s="4">
        <v>0</v>
      </c>
      <c r="J160" s="118">
        <v>20029006</v>
      </c>
    </row>
    <row r="161" spans="1:18" ht="16.5">
      <c r="A161" s="48">
        <v>2903</v>
      </c>
      <c r="B161" s="48">
        <v>3</v>
      </c>
      <c r="C161" s="49" t="s">
        <v>1243</v>
      </c>
      <c r="D161" s="103" t="s">
        <v>1025</v>
      </c>
      <c r="E161" s="48">
        <v>29</v>
      </c>
      <c r="F161" s="210" t="s">
        <v>1344</v>
      </c>
      <c r="G161" s="48">
        <v>2903</v>
      </c>
      <c r="H161" s="86">
        <v>712</v>
      </c>
      <c r="I161">
        <v>0</v>
      </c>
      <c r="J161" s="118">
        <v>20029012</v>
      </c>
    </row>
    <row r="162" spans="1:18" ht="16.5">
      <c r="A162" s="48">
        <v>3001</v>
      </c>
      <c r="B162" s="48">
        <v>3</v>
      </c>
      <c r="C162" s="49" t="s">
        <v>1244</v>
      </c>
      <c r="D162" s="103" t="s">
        <v>1026</v>
      </c>
      <c r="E162" s="48">
        <v>30</v>
      </c>
      <c r="F162" s="210" t="s">
        <v>1345</v>
      </c>
      <c r="G162" s="48">
        <v>3001</v>
      </c>
      <c r="H162">
        <v>713</v>
      </c>
      <c r="I162" s="4">
        <v>0</v>
      </c>
      <c r="J162" s="93">
        <v>20030001</v>
      </c>
    </row>
    <row r="163" spans="1:18" ht="16.5">
      <c r="A163" s="48">
        <v>3002</v>
      </c>
      <c r="B163" s="48">
        <v>3</v>
      </c>
      <c r="C163" s="49" t="s">
        <v>1245</v>
      </c>
      <c r="D163" s="88" t="s">
        <v>1027</v>
      </c>
      <c r="E163" s="48">
        <v>30</v>
      </c>
      <c r="F163" s="210" t="s">
        <v>1345</v>
      </c>
      <c r="G163" s="48">
        <v>3002</v>
      </c>
      <c r="H163" s="86">
        <v>714</v>
      </c>
      <c r="I163">
        <v>0</v>
      </c>
      <c r="J163" s="92">
        <v>20030006</v>
      </c>
    </row>
    <row r="164" spans="1:18" ht="16.5">
      <c r="A164" s="48">
        <v>3003</v>
      </c>
      <c r="B164" s="48">
        <v>1</v>
      </c>
      <c r="C164" s="49" t="s">
        <v>1246</v>
      </c>
      <c r="D164" s="107" t="s">
        <v>1120</v>
      </c>
      <c r="E164" s="48">
        <v>30</v>
      </c>
      <c r="F164" s="210" t="s">
        <v>1345</v>
      </c>
      <c r="G164" s="48">
        <v>3003</v>
      </c>
      <c r="H164" s="86">
        <v>357</v>
      </c>
      <c r="I164" s="4">
        <v>0</v>
      </c>
      <c r="J164" s="92">
        <v>20030012</v>
      </c>
    </row>
    <row r="165" spans="1:18" ht="16.5">
      <c r="A165" s="48">
        <v>3101</v>
      </c>
      <c r="B165" s="48">
        <v>3</v>
      </c>
      <c r="C165" s="49" t="s">
        <v>1247</v>
      </c>
      <c r="D165" s="103" t="s">
        <v>1028</v>
      </c>
      <c r="E165" s="48">
        <v>31</v>
      </c>
      <c r="F165" s="210" t="s">
        <v>1346</v>
      </c>
      <c r="G165" s="48">
        <v>3101</v>
      </c>
      <c r="H165" s="86">
        <v>716</v>
      </c>
      <c r="I165">
        <v>0</v>
      </c>
      <c r="J165" s="94">
        <v>20031001</v>
      </c>
    </row>
    <row r="166" spans="1:18" ht="16.5">
      <c r="A166" s="48">
        <v>3102</v>
      </c>
      <c r="B166" s="48">
        <v>3</v>
      </c>
      <c r="C166" s="49" t="s">
        <v>1248</v>
      </c>
      <c r="D166" s="88" t="s">
        <v>1029</v>
      </c>
      <c r="E166" s="48">
        <v>31</v>
      </c>
      <c r="F166" s="210" t="s">
        <v>1346</v>
      </c>
      <c r="G166" s="48">
        <v>3102</v>
      </c>
      <c r="H166" s="86">
        <v>717</v>
      </c>
      <c r="I166" s="4">
        <v>0</v>
      </c>
      <c r="J166" s="94">
        <v>20031006</v>
      </c>
    </row>
    <row r="167" spans="1:18" ht="16.5">
      <c r="A167" s="48">
        <v>3103</v>
      </c>
      <c r="B167" s="48">
        <v>1</v>
      </c>
      <c r="C167" s="49" t="s">
        <v>1249</v>
      </c>
      <c r="D167" s="104" t="s">
        <v>1119</v>
      </c>
      <c r="E167" s="48">
        <v>31</v>
      </c>
      <c r="F167" s="210" t="s">
        <v>1346</v>
      </c>
      <c r="G167" s="48">
        <v>3103</v>
      </c>
      <c r="H167" s="86">
        <v>358</v>
      </c>
      <c r="I167">
        <v>0</v>
      </c>
      <c r="J167" s="94">
        <v>20031012</v>
      </c>
    </row>
    <row r="168" spans="1:18" ht="16.5">
      <c r="A168" s="48">
        <v>3201</v>
      </c>
      <c r="B168" s="48">
        <v>3</v>
      </c>
      <c r="C168" s="49" t="s">
        <v>1250</v>
      </c>
      <c r="D168" s="103" t="s">
        <v>1030</v>
      </c>
      <c r="E168" s="48">
        <v>32</v>
      </c>
      <c r="F168" s="210" t="s">
        <v>1347</v>
      </c>
      <c r="G168" s="48">
        <v>3201</v>
      </c>
      <c r="H168" s="145">
        <v>719</v>
      </c>
      <c r="I168" s="4">
        <v>0</v>
      </c>
      <c r="J168" s="96">
        <v>20032001</v>
      </c>
    </row>
    <row r="169" spans="1:18" ht="16.5">
      <c r="A169" s="48">
        <v>3202</v>
      </c>
      <c r="B169" s="48">
        <v>3</v>
      </c>
      <c r="C169" s="49" t="s">
        <v>1251</v>
      </c>
      <c r="D169" s="103" t="s">
        <v>1031</v>
      </c>
      <c r="E169" s="48">
        <v>32</v>
      </c>
      <c r="F169" s="210" t="s">
        <v>1347</v>
      </c>
      <c r="G169" s="48">
        <v>3202</v>
      </c>
      <c r="H169">
        <v>720</v>
      </c>
      <c r="I169">
        <v>0</v>
      </c>
      <c r="J169" s="96">
        <v>20032006</v>
      </c>
    </row>
    <row r="170" spans="1:18" ht="23.25">
      <c r="A170" s="48">
        <v>3203</v>
      </c>
      <c r="B170" s="48">
        <v>3</v>
      </c>
      <c r="C170" s="49" t="s">
        <v>1252</v>
      </c>
      <c r="D170" s="88" t="s">
        <v>1032</v>
      </c>
      <c r="E170" s="48">
        <v>32</v>
      </c>
      <c r="F170" s="210" t="s">
        <v>1347</v>
      </c>
      <c r="G170" s="48">
        <v>3203</v>
      </c>
      <c r="H170" s="86">
        <v>721</v>
      </c>
      <c r="I170" s="4">
        <v>0</v>
      </c>
      <c r="J170" s="96">
        <v>20032012</v>
      </c>
      <c r="L170" ph="1"/>
      <c r="M170" ph="1"/>
      <c r="N170" ph="1"/>
      <c r="O170" ph="1"/>
      <c r="P170" ph="1"/>
      <c r="Q170" ph="1"/>
      <c r="R170" ph="1"/>
    </row>
    <row r="171" spans="1:18" ht="16.5">
      <c r="A171" s="48">
        <v>3301</v>
      </c>
      <c r="B171" s="48">
        <v>3</v>
      </c>
      <c r="C171" s="49" t="s">
        <v>1253</v>
      </c>
      <c r="D171" s="88" t="s">
        <v>1033</v>
      </c>
      <c r="E171" s="48">
        <v>33</v>
      </c>
      <c r="F171" s="210" t="s">
        <v>1348</v>
      </c>
      <c r="G171" s="48">
        <v>3301</v>
      </c>
      <c r="H171">
        <v>722</v>
      </c>
      <c r="I171">
        <v>0</v>
      </c>
      <c r="J171" s="91">
        <v>20033001</v>
      </c>
    </row>
    <row r="172" spans="1:18" ht="16.5">
      <c r="A172" s="48">
        <v>3302</v>
      </c>
      <c r="B172" s="48">
        <v>3</v>
      </c>
      <c r="C172" s="49" t="s">
        <v>1254</v>
      </c>
      <c r="D172" s="88" t="s">
        <v>1034</v>
      </c>
      <c r="E172" s="48">
        <v>33</v>
      </c>
      <c r="F172" s="210" t="s">
        <v>1348</v>
      </c>
      <c r="G172" s="48">
        <v>3302</v>
      </c>
      <c r="H172" s="86">
        <v>723</v>
      </c>
      <c r="I172" s="4">
        <v>0</v>
      </c>
      <c r="J172" s="91">
        <v>20033006</v>
      </c>
    </row>
    <row r="173" spans="1:18" ht="16.5">
      <c r="A173" s="48">
        <v>3303</v>
      </c>
      <c r="B173" s="48">
        <v>3</v>
      </c>
      <c r="C173" s="49" t="s">
        <v>1255</v>
      </c>
      <c r="D173" s="88" t="s">
        <v>1035</v>
      </c>
      <c r="E173" s="48">
        <v>33</v>
      </c>
      <c r="F173" s="210" t="s">
        <v>1348</v>
      </c>
      <c r="G173" s="48">
        <v>3303</v>
      </c>
      <c r="H173" s="145">
        <v>724</v>
      </c>
      <c r="I173">
        <v>0</v>
      </c>
      <c r="J173" s="91">
        <v>20033012</v>
      </c>
    </row>
    <row r="174" spans="1:18" ht="16.5">
      <c r="A174" s="48">
        <v>3401</v>
      </c>
      <c r="B174" s="48">
        <v>3</v>
      </c>
      <c r="C174" s="49" t="s">
        <v>1256</v>
      </c>
      <c r="D174" s="88" t="s">
        <v>1036</v>
      </c>
      <c r="E174" s="48">
        <v>34</v>
      </c>
      <c r="F174" s="210" t="s">
        <v>1349</v>
      </c>
      <c r="G174" s="48">
        <v>3401</v>
      </c>
      <c r="H174">
        <v>725</v>
      </c>
      <c r="I174" s="4">
        <v>0</v>
      </c>
      <c r="J174" s="92">
        <v>20034001</v>
      </c>
    </row>
    <row r="175" spans="1:18" ht="16.5">
      <c r="A175" s="48">
        <v>3402</v>
      </c>
      <c r="B175" s="48">
        <v>3</v>
      </c>
      <c r="C175" s="49" t="s">
        <v>1257</v>
      </c>
      <c r="D175" s="88" t="s">
        <v>1037</v>
      </c>
      <c r="E175" s="48">
        <v>34</v>
      </c>
      <c r="F175" s="210" t="s">
        <v>1349</v>
      </c>
      <c r="G175" s="48">
        <v>3402</v>
      </c>
      <c r="H175" s="86">
        <v>726</v>
      </c>
      <c r="I175">
        <v>0</v>
      </c>
      <c r="J175" s="92">
        <v>20034012</v>
      </c>
    </row>
    <row r="176" spans="1:18" ht="16.5">
      <c r="A176" s="48">
        <v>3501</v>
      </c>
      <c r="B176" s="48">
        <v>1</v>
      </c>
      <c r="C176" s="49" t="s">
        <v>1258</v>
      </c>
      <c r="D176" s="88" t="s">
        <v>1038</v>
      </c>
      <c r="E176" s="48">
        <v>35</v>
      </c>
      <c r="F176" s="210" t="s">
        <v>1350</v>
      </c>
      <c r="G176" s="48">
        <v>3501</v>
      </c>
      <c r="H176" s="218">
        <v>359</v>
      </c>
      <c r="I176" s="4">
        <v>0</v>
      </c>
      <c r="J176" s="94">
        <v>20035001</v>
      </c>
    </row>
    <row r="177" spans="1:10" ht="16.5">
      <c r="A177" s="48">
        <v>3502</v>
      </c>
      <c r="B177" s="48">
        <v>3</v>
      </c>
      <c r="C177" s="49" t="s">
        <v>1259</v>
      </c>
      <c r="D177" s="104" t="s">
        <v>1039</v>
      </c>
      <c r="E177" s="48">
        <v>35</v>
      </c>
      <c r="F177" s="210" t="s">
        <v>1350</v>
      </c>
      <c r="G177" s="48">
        <v>3502</v>
      </c>
      <c r="H177" s="218">
        <v>728</v>
      </c>
      <c r="I177">
        <v>0</v>
      </c>
      <c r="J177" s="94">
        <v>20035006</v>
      </c>
    </row>
    <row r="178" spans="1:10" ht="16.5">
      <c r="A178" s="48">
        <v>3503</v>
      </c>
      <c r="B178" s="48">
        <v>1</v>
      </c>
      <c r="C178" s="49" t="s">
        <v>1260</v>
      </c>
      <c r="D178" s="94" t="s">
        <v>1117</v>
      </c>
      <c r="E178" s="48">
        <v>35</v>
      </c>
      <c r="F178" s="210" t="s">
        <v>1350</v>
      </c>
      <c r="G178" s="48">
        <v>3503</v>
      </c>
      <c r="H178" s="30">
        <v>360</v>
      </c>
      <c r="I178" s="4">
        <v>0</v>
      </c>
      <c r="J178" s="94">
        <v>20035011</v>
      </c>
    </row>
    <row r="179" spans="1:10" ht="16.5">
      <c r="A179" s="48">
        <v>3504</v>
      </c>
      <c r="B179" s="48">
        <v>1</v>
      </c>
      <c r="C179" s="49" t="s">
        <v>1261</v>
      </c>
      <c r="D179" s="104" t="s">
        <v>1118</v>
      </c>
      <c r="E179" s="48">
        <v>35</v>
      </c>
      <c r="F179" s="210" t="s">
        <v>1350</v>
      </c>
      <c r="G179" s="48">
        <v>3504</v>
      </c>
      <c r="H179" s="218">
        <v>361</v>
      </c>
      <c r="I179">
        <v>0</v>
      </c>
      <c r="J179" s="94">
        <v>20035012</v>
      </c>
    </row>
    <row r="180" spans="1:10" ht="16.5">
      <c r="A180" s="48">
        <v>3601</v>
      </c>
      <c r="B180" s="48">
        <v>3</v>
      </c>
      <c r="C180" t="s">
        <v>1302</v>
      </c>
      <c r="D180" s="122" t="s">
        <v>1276</v>
      </c>
      <c r="E180" s="48">
        <v>36</v>
      </c>
      <c r="F180" s="27" t="s">
        <v>1292</v>
      </c>
      <c r="G180" s="48">
        <v>3601</v>
      </c>
      <c r="H180" s="121">
        <v>801</v>
      </c>
      <c r="I180" s="4">
        <v>0</v>
      </c>
      <c r="J180">
        <v>20036001</v>
      </c>
    </row>
    <row r="181" spans="1:10" ht="14.25">
      <c r="A181" s="48">
        <v>3701</v>
      </c>
      <c r="B181" s="48">
        <v>3</v>
      </c>
      <c r="C181" t="s">
        <v>1303</v>
      </c>
      <c r="D181" s="124" t="s">
        <v>1277</v>
      </c>
      <c r="E181" s="48">
        <v>37</v>
      </c>
      <c r="F181" s="27" t="s">
        <v>1293</v>
      </c>
      <c r="G181" s="48">
        <v>3701</v>
      </c>
      <c r="H181" s="121">
        <v>802</v>
      </c>
      <c r="I181">
        <v>0</v>
      </c>
      <c r="J181" s="61">
        <v>20037001</v>
      </c>
    </row>
    <row r="182" spans="1:10" ht="14.25">
      <c r="A182" s="48">
        <v>3801</v>
      </c>
      <c r="B182" s="48">
        <v>1</v>
      </c>
      <c r="C182" t="s">
        <v>1304</v>
      </c>
      <c r="D182" s="125" t="s">
        <v>1278</v>
      </c>
      <c r="E182" s="48">
        <v>38</v>
      </c>
      <c r="F182" s="27" t="s">
        <v>1294</v>
      </c>
      <c r="G182" s="48">
        <v>3801</v>
      </c>
      <c r="H182" s="121">
        <v>362</v>
      </c>
      <c r="I182" s="4">
        <v>0</v>
      </c>
      <c r="J182" s="61">
        <v>20038001</v>
      </c>
    </row>
    <row r="183" spans="1:10" ht="14.25">
      <c r="A183" s="48">
        <v>3802</v>
      </c>
      <c r="B183" s="48">
        <v>3</v>
      </c>
      <c r="C183" t="s">
        <v>1305</v>
      </c>
      <c r="D183" s="125" t="s">
        <v>1279</v>
      </c>
      <c r="E183" s="48">
        <v>38</v>
      </c>
      <c r="F183" s="27" t="s">
        <v>1294</v>
      </c>
      <c r="G183" s="48">
        <v>3802</v>
      </c>
      <c r="H183" s="121">
        <v>803</v>
      </c>
      <c r="I183">
        <v>0</v>
      </c>
      <c r="J183" s="123">
        <v>20038001</v>
      </c>
    </row>
    <row r="184" spans="1:10">
      <c r="A184" s="48">
        <v>3901</v>
      </c>
      <c r="B184" s="48">
        <v>3</v>
      </c>
      <c r="C184" t="s">
        <v>1306</v>
      </c>
      <c r="D184" s="126" t="s">
        <v>1280</v>
      </c>
      <c r="E184" s="48">
        <v>39</v>
      </c>
      <c r="F184" s="27" t="s">
        <v>1295</v>
      </c>
      <c r="G184" s="48">
        <v>3901</v>
      </c>
      <c r="H184" s="121">
        <v>804</v>
      </c>
      <c r="I184" s="4">
        <v>0</v>
      </c>
      <c r="J184">
        <v>20039001</v>
      </c>
    </row>
    <row r="185" spans="1:10">
      <c r="A185" s="48">
        <v>4001</v>
      </c>
      <c r="B185" s="48">
        <v>3</v>
      </c>
      <c r="C185" t="s">
        <v>1307</v>
      </c>
      <c r="D185" s="127" t="s">
        <v>1281</v>
      </c>
      <c r="E185" s="48">
        <v>40</v>
      </c>
      <c r="F185" s="27" t="s">
        <v>1296</v>
      </c>
      <c r="G185" s="48">
        <v>4001</v>
      </c>
      <c r="H185" s="121">
        <v>805</v>
      </c>
      <c r="I185">
        <v>0</v>
      </c>
      <c r="J185">
        <v>20040001</v>
      </c>
    </row>
    <row r="186" spans="1:10">
      <c r="A186" s="48">
        <v>4101</v>
      </c>
      <c r="B186" s="48">
        <v>3</v>
      </c>
      <c r="C186" t="s">
        <v>1308</v>
      </c>
      <c r="D186" s="128" t="s">
        <v>1282</v>
      </c>
      <c r="E186" s="48">
        <v>41</v>
      </c>
      <c r="F186" s="27" t="s">
        <v>1297</v>
      </c>
      <c r="G186" s="48">
        <v>4101</v>
      </c>
      <c r="H186" s="121">
        <v>806</v>
      </c>
      <c r="I186" s="4">
        <v>0</v>
      </c>
      <c r="J186">
        <v>20041012</v>
      </c>
    </row>
    <row r="187" spans="1:10">
      <c r="A187" s="48">
        <v>4102</v>
      </c>
      <c r="B187">
        <v>1</v>
      </c>
      <c r="C187" t="s">
        <v>1309</v>
      </c>
      <c r="D187" s="128" t="s">
        <v>1283</v>
      </c>
      <c r="E187" s="48">
        <v>41</v>
      </c>
      <c r="F187" s="27" t="s">
        <v>1297</v>
      </c>
      <c r="G187" s="48">
        <v>4102</v>
      </c>
      <c r="H187" s="121">
        <v>363</v>
      </c>
      <c r="I187">
        <v>0</v>
      </c>
      <c r="J187">
        <v>20041012</v>
      </c>
    </row>
    <row r="188" spans="1:10">
      <c r="A188" s="48">
        <v>4201</v>
      </c>
      <c r="B188" s="48">
        <v>3</v>
      </c>
      <c r="C188" t="s">
        <v>1310</v>
      </c>
      <c r="D188" s="124" t="s">
        <v>1284</v>
      </c>
      <c r="E188" s="48">
        <v>42</v>
      </c>
      <c r="F188" s="27" t="s">
        <v>1298</v>
      </c>
      <c r="G188" s="48">
        <v>4201</v>
      </c>
      <c r="H188" s="121">
        <v>807</v>
      </c>
      <c r="I188" s="4">
        <v>0</v>
      </c>
      <c r="J188">
        <v>20042001</v>
      </c>
    </row>
    <row r="189" spans="1:10">
      <c r="A189" s="48">
        <v>4301</v>
      </c>
      <c r="B189" s="48">
        <v>3</v>
      </c>
      <c r="C189" t="s">
        <v>1311</v>
      </c>
      <c r="D189" s="125" t="s">
        <v>1285</v>
      </c>
      <c r="E189" s="48">
        <v>43</v>
      </c>
      <c r="F189" s="27" t="s">
        <v>1299</v>
      </c>
      <c r="G189" s="48">
        <v>4301</v>
      </c>
      <c r="H189" s="121">
        <v>808</v>
      </c>
      <c r="I189">
        <v>0</v>
      </c>
      <c r="J189">
        <v>20043001</v>
      </c>
    </row>
    <row r="190" spans="1:10">
      <c r="A190" s="48">
        <v>4302</v>
      </c>
      <c r="B190" s="48">
        <v>3</v>
      </c>
      <c r="C190" t="s">
        <v>1312</v>
      </c>
      <c r="D190" s="125" t="s">
        <v>1286</v>
      </c>
      <c r="E190" s="48">
        <v>43</v>
      </c>
      <c r="F190" s="27" t="s">
        <v>1299</v>
      </c>
      <c r="G190" s="48">
        <v>4302</v>
      </c>
      <c r="H190" s="121">
        <v>809</v>
      </c>
      <c r="I190" s="4">
        <v>0</v>
      </c>
      <c r="J190">
        <v>20043012</v>
      </c>
    </row>
    <row r="191" spans="1:10">
      <c r="A191" s="48">
        <v>4401</v>
      </c>
      <c r="B191" s="48">
        <v>3</v>
      </c>
      <c r="C191" t="s">
        <v>1313</v>
      </c>
      <c r="D191" s="127" t="s">
        <v>1287</v>
      </c>
      <c r="E191" s="48">
        <v>44</v>
      </c>
      <c r="F191" s="27" t="s">
        <v>1300</v>
      </c>
      <c r="G191" s="48">
        <v>4401</v>
      </c>
      <c r="H191" s="121">
        <v>810</v>
      </c>
      <c r="I191">
        <v>0</v>
      </c>
      <c r="J191">
        <v>20044001</v>
      </c>
    </row>
    <row r="192" spans="1:10">
      <c r="A192" s="48">
        <v>4402</v>
      </c>
      <c r="B192" s="48">
        <v>3</v>
      </c>
      <c r="C192" t="s">
        <v>1314</v>
      </c>
      <c r="D192" s="127" t="s">
        <v>1288</v>
      </c>
      <c r="E192" s="48">
        <v>44</v>
      </c>
      <c r="F192" s="27" t="s">
        <v>1300</v>
      </c>
      <c r="G192" s="48">
        <v>4402</v>
      </c>
      <c r="H192" s="121">
        <v>811</v>
      </c>
      <c r="I192" s="4">
        <v>0</v>
      </c>
      <c r="J192">
        <v>20044012</v>
      </c>
    </row>
    <row r="193" spans="1:10">
      <c r="A193" s="48">
        <v>4403</v>
      </c>
      <c r="B193" s="48">
        <v>3</v>
      </c>
      <c r="C193" t="s">
        <v>1315</v>
      </c>
      <c r="D193" s="127" t="s">
        <v>1289</v>
      </c>
      <c r="E193" s="48">
        <v>44</v>
      </c>
      <c r="F193" s="27" t="s">
        <v>1300</v>
      </c>
      <c r="G193" s="48">
        <v>4403</v>
      </c>
      <c r="H193" s="121">
        <v>812</v>
      </c>
      <c r="I193">
        <v>0</v>
      </c>
      <c r="J193">
        <v>20044012</v>
      </c>
    </row>
    <row r="194" spans="1:10">
      <c r="A194" s="48">
        <v>4501</v>
      </c>
      <c r="B194" s="48">
        <v>3</v>
      </c>
      <c r="C194" t="s">
        <v>1316</v>
      </c>
      <c r="D194" s="128" t="s">
        <v>1290</v>
      </c>
      <c r="E194" s="48">
        <v>45</v>
      </c>
      <c r="F194" s="27" t="s">
        <v>1301</v>
      </c>
      <c r="G194" s="48">
        <v>4501</v>
      </c>
      <c r="H194">
        <v>813</v>
      </c>
      <c r="I194" s="4">
        <v>0</v>
      </c>
      <c r="J194">
        <v>20045001</v>
      </c>
    </row>
    <row r="195" spans="1:10">
      <c r="A195" s="48">
        <v>4502</v>
      </c>
      <c r="B195" s="48">
        <v>3</v>
      </c>
      <c r="C195" t="s">
        <v>1317</v>
      </c>
      <c r="D195" s="128" t="s">
        <v>1291</v>
      </c>
      <c r="E195" s="48">
        <v>45</v>
      </c>
      <c r="F195" s="27" t="s">
        <v>1301</v>
      </c>
      <c r="G195" s="48">
        <v>4502</v>
      </c>
      <c r="H195">
        <v>814</v>
      </c>
      <c r="I195">
        <v>0</v>
      </c>
      <c r="J195">
        <v>20045012</v>
      </c>
    </row>
    <row r="196" spans="1:10" ht="16.5">
      <c r="A196" s="48">
        <v>10101</v>
      </c>
      <c r="B196" s="48">
        <v>1</v>
      </c>
      <c r="C196" s="49" t="s">
        <v>1262</v>
      </c>
      <c r="D196" s="106" t="s">
        <v>1004</v>
      </c>
      <c r="E196" s="48">
        <v>98</v>
      </c>
      <c r="F196" s="4" t="s">
        <v>1466</v>
      </c>
      <c r="G196" s="48">
        <v>10101</v>
      </c>
      <c r="H196" s="119">
        <v>340</v>
      </c>
      <c r="I196" s="4">
        <v>0</v>
      </c>
      <c r="J196" s="60">
        <v>200901011</v>
      </c>
    </row>
    <row r="197" spans="1:10" ht="16.5">
      <c r="A197" s="48">
        <v>10102</v>
      </c>
      <c r="B197" s="48">
        <v>1</v>
      </c>
      <c r="C197" s="49" t="s">
        <v>1263</v>
      </c>
      <c r="D197" s="58" t="s">
        <v>1005</v>
      </c>
      <c r="E197" s="48">
        <v>98</v>
      </c>
      <c r="F197" s="4" t="s">
        <v>1466</v>
      </c>
      <c r="G197" s="48">
        <v>10102</v>
      </c>
      <c r="H197" s="119">
        <v>341</v>
      </c>
      <c r="I197">
        <v>0</v>
      </c>
      <c r="J197" s="60">
        <v>200901021</v>
      </c>
    </row>
    <row r="198" spans="1:10" ht="16.5">
      <c r="A198" s="48">
        <v>10103</v>
      </c>
      <c r="B198" s="48">
        <v>1</v>
      </c>
      <c r="C198" s="49" t="s">
        <v>1264</v>
      </c>
      <c r="D198" s="106" t="s">
        <v>1006</v>
      </c>
      <c r="E198" s="48">
        <v>98</v>
      </c>
      <c r="F198" s="4" t="s">
        <v>1466</v>
      </c>
      <c r="G198" s="48">
        <v>10103</v>
      </c>
      <c r="H198" s="119">
        <v>342</v>
      </c>
      <c r="I198" s="4">
        <v>0</v>
      </c>
      <c r="J198" s="60">
        <v>200901031</v>
      </c>
    </row>
    <row r="199" spans="1:10" ht="16.5">
      <c r="A199" s="48">
        <v>10104</v>
      </c>
      <c r="B199" s="48">
        <v>1</v>
      </c>
      <c r="C199" s="49" t="s">
        <v>1265</v>
      </c>
      <c r="D199" s="106" t="s">
        <v>1007</v>
      </c>
      <c r="E199" s="48">
        <v>98</v>
      </c>
      <c r="F199" s="4" t="s">
        <v>1467</v>
      </c>
      <c r="G199" s="48">
        <v>10104</v>
      </c>
      <c r="H199" s="119">
        <v>343</v>
      </c>
      <c r="I199">
        <v>0</v>
      </c>
      <c r="J199" s="60">
        <v>200901041</v>
      </c>
    </row>
    <row r="200" spans="1:10" ht="16.5">
      <c r="A200" s="48">
        <v>10105</v>
      </c>
      <c r="B200" s="48">
        <v>1</v>
      </c>
      <c r="C200" s="49" t="s">
        <v>1266</v>
      </c>
      <c r="D200" s="106" t="s">
        <v>1008</v>
      </c>
      <c r="E200" s="48">
        <v>98</v>
      </c>
      <c r="F200" s="4" t="s">
        <v>1467</v>
      </c>
      <c r="G200" s="48">
        <v>10105</v>
      </c>
      <c r="H200" s="119">
        <v>344</v>
      </c>
      <c r="I200" s="4">
        <v>0</v>
      </c>
      <c r="J200" s="60">
        <v>200901051</v>
      </c>
    </row>
    <row r="201" spans="1:10" ht="16.5">
      <c r="A201" s="48">
        <v>10106</v>
      </c>
      <c r="B201" s="48">
        <v>1</v>
      </c>
      <c r="C201" s="49" t="s">
        <v>1267</v>
      </c>
      <c r="D201" s="106" t="s">
        <v>1009</v>
      </c>
      <c r="E201" s="48">
        <v>98</v>
      </c>
      <c r="F201" s="4" t="s">
        <v>1467</v>
      </c>
      <c r="G201" s="48">
        <v>10106</v>
      </c>
      <c r="H201" s="119">
        <v>345</v>
      </c>
      <c r="I201">
        <v>0</v>
      </c>
      <c r="J201" s="60">
        <v>200901121</v>
      </c>
    </row>
    <row r="202" spans="1:10" ht="16.5">
      <c r="A202" s="48">
        <v>10107</v>
      </c>
      <c r="B202" s="48">
        <v>1</v>
      </c>
      <c r="C202" s="49" t="s">
        <v>1268</v>
      </c>
      <c r="D202" s="106" t="s">
        <v>1010</v>
      </c>
      <c r="E202" s="48">
        <v>98</v>
      </c>
      <c r="F202" s="4" t="s">
        <v>1471</v>
      </c>
      <c r="G202" s="48">
        <v>10107</v>
      </c>
      <c r="H202" s="119">
        <v>346</v>
      </c>
      <c r="I202" s="4">
        <v>0</v>
      </c>
      <c r="J202" s="60">
        <v>200901121</v>
      </c>
    </row>
    <row r="203" spans="1:10" ht="16.5">
      <c r="A203" s="48">
        <v>10108</v>
      </c>
      <c r="B203" s="48">
        <v>1</v>
      </c>
      <c r="C203" s="49" t="s">
        <v>1269</v>
      </c>
      <c r="D203" s="105" t="s">
        <v>1011</v>
      </c>
      <c r="E203" s="48">
        <v>98</v>
      </c>
      <c r="F203" s="4" t="s">
        <v>1471</v>
      </c>
      <c r="G203" s="48">
        <v>10108</v>
      </c>
      <c r="H203" s="119">
        <v>347</v>
      </c>
      <c r="I203">
        <v>0</v>
      </c>
      <c r="J203" s="61">
        <v>201001011</v>
      </c>
    </row>
    <row r="204" spans="1:10" ht="16.5">
      <c r="A204" s="48">
        <v>10109</v>
      </c>
      <c r="B204" s="48">
        <v>1</v>
      </c>
      <c r="C204" s="49" t="s">
        <v>1270</v>
      </c>
      <c r="D204" s="105" t="s">
        <v>1012</v>
      </c>
      <c r="E204" s="48">
        <v>98</v>
      </c>
      <c r="F204" s="4" t="s">
        <v>1471</v>
      </c>
      <c r="G204" s="48">
        <v>10109</v>
      </c>
      <c r="H204" s="119">
        <v>348</v>
      </c>
      <c r="I204" s="4">
        <v>0</v>
      </c>
      <c r="J204" s="61">
        <v>201001021</v>
      </c>
    </row>
    <row r="205" spans="1:10" ht="16.5">
      <c r="A205" s="48">
        <v>10110</v>
      </c>
      <c r="B205" s="48">
        <v>1</v>
      </c>
      <c r="C205" s="49" t="s">
        <v>1271</v>
      </c>
      <c r="D205" s="105" t="s">
        <v>1013</v>
      </c>
      <c r="E205" s="48">
        <v>98</v>
      </c>
      <c r="F205" s="4" t="s">
        <v>1472</v>
      </c>
      <c r="G205" s="48">
        <v>10110</v>
      </c>
      <c r="H205" s="119">
        <v>349</v>
      </c>
      <c r="I205">
        <v>0</v>
      </c>
      <c r="J205" s="61">
        <v>201001031</v>
      </c>
    </row>
    <row r="206" spans="1:10" ht="16.5">
      <c r="A206" s="48">
        <v>10111</v>
      </c>
      <c r="B206" s="48">
        <v>1</v>
      </c>
      <c r="C206" s="49" t="s">
        <v>1272</v>
      </c>
      <c r="D206" s="105" t="s">
        <v>1014</v>
      </c>
      <c r="E206" s="48">
        <v>98</v>
      </c>
      <c r="F206" s="4" t="s">
        <v>1472</v>
      </c>
      <c r="G206" s="48">
        <v>10111</v>
      </c>
      <c r="H206" s="119">
        <v>350</v>
      </c>
      <c r="I206" s="4">
        <v>0</v>
      </c>
      <c r="J206" s="61">
        <v>201001041</v>
      </c>
    </row>
    <row r="207" spans="1:10" ht="16.5">
      <c r="A207" s="48">
        <v>10112</v>
      </c>
      <c r="B207" s="48">
        <v>1</v>
      </c>
      <c r="C207" s="49" t="s">
        <v>1273</v>
      </c>
      <c r="D207" s="59" t="s">
        <v>1015</v>
      </c>
      <c r="E207" s="48">
        <v>98</v>
      </c>
      <c r="F207" s="4" t="s">
        <v>1472</v>
      </c>
      <c r="G207" s="48">
        <v>10112</v>
      </c>
      <c r="H207" s="119">
        <v>351</v>
      </c>
      <c r="I207">
        <v>0</v>
      </c>
      <c r="J207" s="61">
        <v>201001051</v>
      </c>
    </row>
    <row r="208" spans="1:10" ht="16.5">
      <c r="A208" s="48">
        <v>10113</v>
      </c>
      <c r="B208" s="48">
        <v>1</v>
      </c>
      <c r="C208" s="49" t="s">
        <v>1274</v>
      </c>
      <c r="D208" s="59" t="s">
        <v>1016</v>
      </c>
      <c r="E208" s="48">
        <v>98</v>
      </c>
      <c r="F208" s="4" t="s">
        <v>1473</v>
      </c>
      <c r="G208" s="48">
        <v>10113</v>
      </c>
      <c r="H208" s="119">
        <v>352</v>
      </c>
      <c r="I208" s="4">
        <v>0</v>
      </c>
      <c r="J208" s="61">
        <v>201001061</v>
      </c>
    </row>
    <row r="209" spans="1:10" ht="16.5">
      <c r="A209" s="48">
        <v>10114</v>
      </c>
      <c r="B209" s="48">
        <v>1</v>
      </c>
      <c r="C209" s="49" t="s">
        <v>1275</v>
      </c>
      <c r="D209" s="59" t="s">
        <v>1017</v>
      </c>
      <c r="E209" s="48">
        <v>98</v>
      </c>
      <c r="F209" s="4" t="s">
        <v>1473</v>
      </c>
      <c r="G209" s="48">
        <v>10114</v>
      </c>
      <c r="H209" s="119">
        <v>353</v>
      </c>
      <c r="I209">
        <v>0</v>
      </c>
      <c r="J209" s="61">
        <v>201001071</v>
      </c>
    </row>
    <row r="210" spans="1:10">
      <c r="A210" s="48">
        <v>10201</v>
      </c>
      <c r="B210" s="48">
        <v>3</v>
      </c>
      <c r="C210" s="49" t="s">
        <v>1351</v>
      </c>
      <c r="D210" s="88" t="s">
        <v>1370</v>
      </c>
      <c r="E210" s="48">
        <v>20001</v>
      </c>
      <c r="F210" s="4" t="s">
        <v>1494</v>
      </c>
      <c r="G210" s="48">
        <v>10201</v>
      </c>
      <c r="H210" s="129">
        <v>901</v>
      </c>
      <c r="I210" s="4">
        <v>0</v>
      </c>
      <c r="J210" s="144">
        <v>99130604</v>
      </c>
    </row>
    <row r="211" spans="1:10">
      <c r="A211" s="48">
        <v>10202</v>
      </c>
      <c r="B211" s="48">
        <v>3</v>
      </c>
      <c r="C211" s="49" t="s">
        <v>1352</v>
      </c>
      <c r="D211" s="88" t="s">
        <v>1371</v>
      </c>
      <c r="E211" s="48">
        <v>20001</v>
      </c>
      <c r="F211" s="4" t="s">
        <v>1494</v>
      </c>
      <c r="G211" s="48">
        <v>10202</v>
      </c>
      <c r="H211" s="129">
        <v>902</v>
      </c>
      <c r="I211">
        <v>0</v>
      </c>
      <c r="J211" s="144">
        <v>99130604</v>
      </c>
    </row>
    <row r="212" spans="1:10">
      <c r="A212" s="48">
        <v>10203</v>
      </c>
      <c r="B212" s="48">
        <v>3</v>
      </c>
      <c r="C212" s="49" t="s">
        <v>1353</v>
      </c>
      <c r="D212" s="88" t="s">
        <v>1372</v>
      </c>
      <c r="E212" s="48">
        <v>20001</v>
      </c>
      <c r="F212" s="4" t="s">
        <v>1494</v>
      </c>
      <c r="G212" s="48">
        <v>10203</v>
      </c>
      <c r="H212" s="129">
        <v>903</v>
      </c>
      <c r="I212" s="4">
        <v>0</v>
      </c>
      <c r="J212" s="144">
        <v>99130604</v>
      </c>
    </row>
    <row r="213" spans="1:10">
      <c r="A213" s="48">
        <v>10204</v>
      </c>
      <c r="B213" s="48">
        <v>3</v>
      </c>
      <c r="C213" s="49" t="s">
        <v>1354</v>
      </c>
      <c r="D213" s="88" t="s">
        <v>1373</v>
      </c>
      <c r="E213" s="48">
        <v>20002</v>
      </c>
      <c r="F213" s="4" t="s">
        <v>1374</v>
      </c>
      <c r="G213" s="48">
        <v>10204</v>
      </c>
      <c r="H213" s="129">
        <v>904</v>
      </c>
      <c r="I213">
        <v>0</v>
      </c>
      <c r="J213" s="144">
        <v>99130604</v>
      </c>
    </row>
    <row r="214" spans="1:10">
      <c r="A214" s="48">
        <v>10205</v>
      </c>
      <c r="B214" s="48">
        <v>3</v>
      </c>
      <c r="C214" s="49" t="s">
        <v>1355</v>
      </c>
      <c r="D214" s="88" t="s">
        <v>1374</v>
      </c>
      <c r="E214" s="48">
        <v>20002</v>
      </c>
      <c r="F214" s="4" t="s">
        <v>1495</v>
      </c>
      <c r="G214" s="48">
        <v>10205</v>
      </c>
      <c r="H214" s="129">
        <v>905</v>
      </c>
      <c r="I214" s="4">
        <v>0</v>
      </c>
      <c r="J214" s="144">
        <v>99130604</v>
      </c>
    </row>
    <row r="215" spans="1:10" s="145" customFormat="1">
      <c r="A215" s="145">
        <v>10206</v>
      </c>
      <c r="B215" s="145">
        <v>1</v>
      </c>
      <c r="C215" s="49" t="s">
        <v>1356</v>
      </c>
      <c r="D215" s="88" t="s">
        <v>1375</v>
      </c>
      <c r="E215" s="48">
        <v>20002</v>
      </c>
      <c r="F215" s="4" t="s">
        <v>1495</v>
      </c>
      <c r="G215" s="145">
        <v>10206</v>
      </c>
      <c r="H215" s="146">
        <v>364</v>
      </c>
      <c r="I215">
        <v>0</v>
      </c>
      <c r="J215" s="144">
        <v>99130604</v>
      </c>
    </row>
    <row r="216" spans="1:10">
      <c r="A216" s="48">
        <v>10207</v>
      </c>
      <c r="B216" s="48">
        <v>3</v>
      </c>
      <c r="C216" s="49" t="s">
        <v>1357</v>
      </c>
      <c r="D216" s="88" t="s">
        <v>1376</v>
      </c>
      <c r="E216" s="48">
        <v>20003</v>
      </c>
      <c r="F216" s="4" t="s">
        <v>1496</v>
      </c>
      <c r="G216" s="48">
        <v>10207</v>
      </c>
      <c r="H216" s="129">
        <v>906</v>
      </c>
      <c r="I216" s="4">
        <v>0</v>
      </c>
      <c r="J216" s="144">
        <v>99130604</v>
      </c>
    </row>
    <row r="217" spans="1:10">
      <c r="A217" s="48">
        <v>10208</v>
      </c>
      <c r="B217" s="48">
        <v>3</v>
      </c>
      <c r="C217" s="49" t="s">
        <v>1358</v>
      </c>
      <c r="D217" s="88" t="s">
        <v>1377</v>
      </c>
      <c r="E217" s="48">
        <v>20003</v>
      </c>
      <c r="F217" s="4" t="s">
        <v>1496</v>
      </c>
      <c r="G217" s="48">
        <v>10208</v>
      </c>
      <c r="H217" s="129">
        <v>907</v>
      </c>
      <c r="I217">
        <v>0</v>
      </c>
      <c r="J217" s="144">
        <v>99130604</v>
      </c>
    </row>
    <row r="218" spans="1:10">
      <c r="A218" s="48">
        <v>10209</v>
      </c>
      <c r="B218" s="48">
        <v>3</v>
      </c>
      <c r="C218" s="49" t="s">
        <v>1359</v>
      </c>
      <c r="D218" s="88" t="s">
        <v>1378</v>
      </c>
      <c r="E218" s="48">
        <v>20003</v>
      </c>
      <c r="F218" s="4" t="s">
        <v>1496</v>
      </c>
      <c r="G218" s="48">
        <v>10209</v>
      </c>
      <c r="H218" s="129">
        <v>908</v>
      </c>
      <c r="I218" s="4">
        <v>0</v>
      </c>
      <c r="J218" s="144">
        <v>99130604</v>
      </c>
    </row>
    <row r="219" spans="1:10">
      <c r="A219" s="48">
        <v>10210</v>
      </c>
      <c r="B219" s="48">
        <v>3</v>
      </c>
      <c r="C219" s="49" t="s">
        <v>1360</v>
      </c>
      <c r="D219" s="88" t="s">
        <v>1379</v>
      </c>
      <c r="E219" s="48">
        <v>20004</v>
      </c>
      <c r="F219" s="4" t="s">
        <v>1497</v>
      </c>
      <c r="G219" s="48">
        <v>10210</v>
      </c>
      <c r="H219" s="129">
        <v>909</v>
      </c>
      <c r="I219">
        <v>0</v>
      </c>
      <c r="J219" s="144">
        <v>99130604</v>
      </c>
    </row>
    <row r="220" spans="1:10">
      <c r="A220" s="48">
        <v>10211</v>
      </c>
      <c r="B220" s="48">
        <v>3</v>
      </c>
      <c r="C220" s="49" t="s">
        <v>1361</v>
      </c>
      <c r="D220" s="88" t="s">
        <v>1380</v>
      </c>
      <c r="E220" s="48">
        <v>20004</v>
      </c>
      <c r="F220" s="4" t="s">
        <v>1497</v>
      </c>
      <c r="G220" s="48">
        <v>10211</v>
      </c>
      <c r="H220" s="129">
        <v>910</v>
      </c>
      <c r="I220" s="4">
        <v>0</v>
      </c>
      <c r="J220" s="144">
        <v>99130604</v>
      </c>
    </row>
    <row r="221" spans="1:10">
      <c r="A221" s="48">
        <v>10212</v>
      </c>
      <c r="B221" s="48">
        <v>3</v>
      </c>
      <c r="C221" s="49" t="s">
        <v>1362</v>
      </c>
      <c r="D221" s="88" t="s">
        <v>1381</v>
      </c>
      <c r="E221" s="48">
        <v>20004</v>
      </c>
      <c r="F221" s="4" t="s">
        <v>1497</v>
      </c>
      <c r="G221" s="48">
        <v>10212</v>
      </c>
      <c r="H221" s="129">
        <v>911</v>
      </c>
      <c r="I221">
        <v>0</v>
      </c>
      <c r="J221" s="144">
        <v>99130604</v>
      </c>
    </row>
    <row r="222" spans="1:10">
      <c r="A222" s="48">
        <v>10213</v>
      </c>
      <c r="B222" s="48">
        <v>3</v>
      </c>
      <c r="C222" s="49" t="s">
        <v>1363</v>
      </c>
      <c r="D222" s="88" t="s">
        <v>1382</v>
      </c>
      <c r="E222" s="48">
        <v>20005</v>
      </c>
      <c r="F222" s="4" t="s">
        <v>1498</v>
      </c>
      <c r="G222" s="48">
        <v>10213</v>
      </c>
      <c r="H222" s="129">
        <v>912</v>
      </c>
      <c r="I222" s="4">
        <v>0</v>
      </c>
      <c r="J222" s="144">
        <v>99130604</v>
      </c>
    </row>
    <row r="223" spans="1:10">
      <c r="A223" s="48">
        <v>10214</v>
      </c>
      <c r="B223" s="48">
        <v>3</v>
      </c>
      <c r="C223" s="49" t="s">
        <v>1364</v>
      </c>
      <c r="D223" s="88" t="s">
        <v>1383</v>
      </c>
      <c r="E223" s="48">
        <v>20005</v>
      </c>
      <c r="F223" s="4" t="s">
        <v>1498</v>
      </c>
      <c r="G223" s="48">
        <v>10214</v>
      </c>
      <c r="H223" s="129">
        <v>913</v>
      </c>
      <c r="I223">
        <v>0</v>
      </c>
      <c r="J223" s="144">
        <v>99130604</v>
      </c>
    </row>
    <row r="224" spans="1:10">
      <c r="A224" s="48">
        <v>10215</v>
      </c>
      <c r="B224" s="48">
        <v>3</v>
      </c>
      <c r="C224" s="49" t="s">
        <v>1365</v>
      </c>
      <c r="D224" s="88" t="s">
        <v>1384</v>
      </c>
      <c r="E224" s="48">
        <v>20005</v>
      </c>
      <c r="F224" s="4" t="s">
        <v>1498</v>
      </c>
      <c r="G224" s="48">
        <v>10215</v>
      </c>
      <c r="H224" s="129">
        <v>914</v>
      </c>
      <c r="I224" s="4">
        <v>0</v>
      </c>
      <c r="J224" s="144">
        <v>99130604</v>
      </c>
    </row>
    <row r="225" spans="1:10" s="145" customFormat="1">
      <c r="A225" s="145">
        <v>10216</v>
      </c>
      <c r="B225" s="145">
        <v>1</v>
      </c>
      <c r="C225" s="49" t="s">
        <v>1366</v>
      </c>
      <c r="D225" s="88" t="s">
        <v>1385</v>
      </c>
      <c r="E225" s="48">
        <v>20006</v>
      </c>
      <c r="F225" s="4" t="s">
        <v>1499</v>
      </c>
      <c r="G225" s="145">
        <v>10216</v>
      </c>
      <c r="H225" s="146">
        <v>365</v>
      </c>
      <c r="I225">
        <v>0</v>
      </c>
      <c r="J225" s="144">
        <v>99130604</v>
      </c>
    </row>
    <row r="226" spans="1:10">
      <c r="A226" s="48">
        <v>10217</v>
      </c>
      <c r="B226" s="48">
        <v>3</v>
      </c>
      <c r="C226" s="49" t="s">
        <v>1367</v>
      </c>
      <c r="D226" s="88" t="s">
        <v>1386</v>
      </c>
      <c r="E226" s="48">
        <v>20006</v>
      </c>
      <c r="F226" s="4" t="s">
        <v>1499</v>
      </c>
      <c r="G226" s="48">
        <v>10217</v>
      </c>
      <c r="H226" s="129">
        <v>916</v>
      </c>
      <c r="I226" s="4">
        <v>0</v>
      </c>
      <c r="J226" s="144">
        <v>99130604</v>
      </c>
    </row>
    <row r="227" spans="1:10" s="145" customFormat="1">
      <c r="A227" s="145">
        <v>10218</v>
      </c>
      <c r="B227" s="145">
        <v>1</v>
      </c>
      <c r="C227" s="49" t="s">
        <v>1368</v>
      </c>
      <c r="D227" s="88" t="s">
        <v>1387</v>
      </c>
      <c r="E227" s="48">
        <v>20006</v>
      </c>
      <c r="F227" s="4" t="s">
        <v>1499</v>
      </c>
      <c r="G227" s="145">
        <v>10218</v>
      </c>
      <c r="H227" s="146">
        <v>366</v>
      </c>
      <c r="I227">
        <v>0</v>
      </c>
      <c r="J227" s="144">
        <v>99130604</v>
      </c>
    </row>
    <row r="228" spans="1:10">
      <c r="A228" s="48">
        <v>10219</v>
      </c>
      <c r="B228" s="48">
        <v>3</v>
      </c>
      <c r="C228" s="49" t="s">
        <v>1369</v>
      </c>
      <c r="D228" s="88" t="s">
        <v>1388</v>
      </c>
      <c r="E228" s="48">
        <v>20006</v>
      </c>
      <c r="F228" s="4" t="s">
        <v>1499</v>
      </c>
      <c r="G228" s="48">
        <v>10219</v>
      </c>
      <c r="H228" s="129">
        <v>917</v>
      </c>
      <c r="I228" s="4">
        <v>0</v>
      </c>
      <c r="J228" s="144">
        <v>99130604</v>
      </c>
    </row>
    <row r="229" spans="1:10">
      <c r="A229" s="48">
        <v>10220</v>
      </c>
      <c r="B229" s="48">
        <v>3</v>
      </c>
      <c r="C229" s="49" t="s">
        <v>1390</v>
      </c>
      <c r="D229" s="88" t="s">
        <v>1389</v>
      </c>
      <c r="E229" s="48">
        <v>20006</v>
      </c>
      <c r="F229" s="4" t="s">
        <v>1499</v>
      </c>
      <c r="G229" s="48">
        <v>10220</v>
      </c>
      <c r="H229" s="129">
        <v>918</v>
      </c>
      <c r="I229">
        <v>0</v>
      </c>
      <c r="J229" s="144">
        <v>99130604</v>
      </c>
    </row>
    <row r="230" spans="1:10">
      <c r="A230" s="48">
        <v>10301</v>
      </c>
      <c r="B230" s="48">
        <v>3</v>
      </c>
      <c r="C230" s="49" t="s">
        <v>1391</v>
      </c>
      <c r="D230" s="88" t="s">
        <v>1406</v>
      </c>
      <c r="E230" s="48">
        <v>20101</v>
      </c>
      <c r="F230" s="4" t="s">
        <v>1500</v>
      </c>
      <c r="G230" s="48">
        <v>10301</v>
      </c>
      <c r="H230" s="130">
        <v>6601</v>
      </c>
      <c r="I230" s="4">
        <v>0</v>
      </c>
      <c r="J230">
        <v>99020604</v>
      </c>
    </row>
    <row r="231" spans="1:10" s="147" customFormat="1">
      <c r="A231" s="147">
        <v>10302</v>
      </c>
      <c r="B231" s="147">
        <v>1</v>
      </c>
      <c r="C231" s="49" t="s">
        <v>1392</v>
      </c>
      <c r="D231" s="88" t="s">
        <v>1407</v>
      </c>
      <c r="E231" s="48">
        <v>20101</v>
      </c>
      <c r="F231" s="4" t="s">
        <v>1500</v>
      </c>
      <c r="G231" s="147">
        <v>10302</v>
      </c>
      <c r="H231" s="148">
        <v>6602</v>
      </c>
      <c r="I231">
        <v>0</v>
      </c>
      <c r="J231">
        <v>99020604</v>
      </c>
    </row>
    <row r="232" spans="1:10">
      <c r="A232" s="48">
        <v>10303</v>
      </c>
      <c r="B232" s="48">
        <v>3</v>
      </c>
      <c r="C232" s="49" t="s">
        <v>1393</v>
      </c>
      <c r="D232" s="88" t="s">
        <v>1408</v>
      </c>
      <c r="E232" s="48">
        <v>20101</v>
      </c>
      <c r="F232" s="4" t="s">
        <v>1500</v>
      </c>
      <c r="G232" s="48">
        <v>10303</v>
      </c>
      <c r="H232" s="130">
        <v>6603</v>
      </c>
      <c r="I232" s="4">
        <v>0</v>
      </c>
      <c r="J232">
        <v>99020604</v>
      </c>
    </row>
    <row r="233" spans="1:10" s="147" customFormat="1">
      <c r="A233" s="147">
        <v>10304</v>
      </c>
      <c r="B233" s="147">
        <v>1</v>
      </c>
      <c r="C233" s="49" t="s">
        <v>1394</v>
      </c>
      <c r="D233" s="88" t="s">
        <v>1409</v>
      </c>
      <c r="E233" s="48">
        <v>20101</v>
      </c>
      <c r="F233" s="4" t="s">
        <v>1500</v>
      </c>
      <c r="G233" s="147">
        <v>10304</v>
      </c>
      <c r="H233" s="148">
        <v>6604</v>
      </c>
      <c r="I233">
        <v>0</v>
      </c>
      <c r="J233">
        <v>99020604</v>
      </c>
    </row>
    <row r="234" spans="1:10">
      <c r="A234" s="48">
        <v>10305</v>
      </c>
      <c r="B234" s="48">
        <v>3</v>
      </c>
      <c r="C234" s="49" t="s">
        <v>1395</v>
      </c>
      <c r="D234" s="88" t="s">
        <v>1410</v>
      </c>
      <c r="E234" s="48">
        <v>20101</v>
      </c>
      <c r="F234" s="4" t="s">
        <v>1500</v>
      </c>
      <c r="G234" s="48">
        <v>10305</v>
      </c>
      <c r="H234" s="130">
        <v>6605</v>
      </c>
      <c r="I234" s="4">
        <v>0</v>
      </c>
      <c r="J234">
        <v>99020604</v>
      </c>
    </row>
    <row r="235" spans="1:10">
      <c r="A235" s="48">
        <v>10306</v>
      </c>
      <c r="B235" s="48">
        <v>3</v>
      </c>
      <c r="C235" s="49" t="s">
        <v>1396</v>
      </c>
      <c r="D235" s="88" t="s">
        <v>1411</v>
      </c>
      <c r="E235" s="48">
        <v>20102</v>
      </c>
      <c r="F235" s="4" t="s">
        <v>1501</v>
      </c>
      <c r="G235" s="48">
        <v>10306</v>
      </c>
      <c r="H235" s="130">
        <v>6606</v>
      </c>
      <c r="I235">
        <v>0</v>
      </c>
      <c r="J235">
        <v>99020604</v>
      </c>
    </row>
    <row r="236" spans="1:10">
      <c r="A236" s="48">
        <v>10307</v>
      </c>
      <c r="B236" s="48">
        <v>3</v>
      </c>
      <c r="C236" s="49" t="s">
        <v>1397</v>
      </c>
      <c r="D236" s="88" t="s">
        <v>1412</v>
      </c>
      <c r="E236" s="48">
        <v>20102</v>
      </c>
      <c r="F236" s="4" t="s">
        <v>1501</v>
      </c>
      <c r="G236" s="48">
        <v>10307</v>
      </c>
      <c r="H236" s="130">
        <v>6607</v>
      </c>
      <c r="I236" s="4">
        <v>0</v>
      </c>
      <c r="J236">
        <v>99020604</v>
      </c>
    </row>
    <row r="237" spans="1:10">
      <c r="A237" s="48">
        <v>10308</v>
      </c>
      <c r="B237" s="48">
        <v>3</v>
      </c>
      <c r="C237" s="49" t="s">
        <v>1398</v>
      </c>
      <c r="D237" s="88" t="s">
        <v>1011</v>
      </c>
      <c r="E237" s="48">
        <v>20103</v>
      </c>
      <c r="F237" s="4" t="s">
        <v>1502</v>
      </c>
      <c r="G237" s="48">
        <v>10308</v>
      </c>
      <c r="H237" s="130">
        <v>6608</v>
      </c>
      <c r="I237">
        <v>0</v>
      </c>
      <c r="J237">
        <v>99020604</v>
      </c>
    </row>
    <row r="238" spans="1:10">
      <c r="A238" s="48">
        <v>10309</v>
      </c>
      <c r="B238" s="48">
        <v>3</v>
      </c>
      <c r="C238" s="49" t="s">
        <v>1399</v>
      </c>
      <c r="D238" s="88" t="s">
        <v>1413</v>
      </c>
      <c r="E238" s="48">
        <v>20103</v>
      </c>
      <c r="F238" s="4" t="s">
        <v>1502</v>
      </c>
      <c r="G238" s="48">
        <v>10309</v>
      </c>
      <c r="H238" s="130">
        <v>6609</v>
      </c>
      <c r="I238" s="4">
        <v>0</v>
      </c>
      <c r="J238">
        <v>99020604</v>
      </c>
    </row>
    <row r="239" spans="1:10">
      <c r="A239" s="48">
        <v>10310</v>
      </c>
      <c r="B239" s="48">
        <v>3</v>
      </c>
      <c r="C239" s="49" t="s">
        <v>1400</v>
      </c>
      <c r="D239" s="88" t="s">
        <v>1003</v>
      </c>
      <c r="E239" s="48">
        <v>20104</v>
      </c>
      <c r="F239" s="4" t="s">
        <v>1503</v>
      </c>
      <c r="G239" s="48">
        <v>10310</v>
      </c>
      <c r="H239" s="130">
        <v>6610</v>
      </c>
      <c r="I239">
        <v>0</v>
      </c>
      <c r="J239">
        <v>99020604</v>
      </c>
    </row>
    <row r="240" spans="1:10">
      <c r="A240" s="48">
        <v>10311</v>
      </c>
      <c r="B240" s="48">
        <v>3</v>
      </c>
      <c r="C240" s="49" t="s">
        <v>1401</v>
      </c>
      <c r="D240" s="88" t="s">
        <v>1414</v>
      </c>
      <c r="E240" s="48">
        <v>20104</v>
      </c>
      <c r="F240" s="4" t="s">
        <v>1503</v>
      </c>
      <c r="G240" s="48">
        <v>10311</v>
      </c>
      <c r="H240" s="130">
        <v>6611</v>
      </c>
      <c r="I240" s="4">
        <v>0</v>
      </c>
      <c r="J240">
        <v>99020604</v>
      </c>
    </row>
    <row r="241" spans="1:10">
      <c r="A241" s="48">
        <v>10312</v>
      </c>
      <c r="B241" s="48">
        <v>3</v>
      </c>
      <c r="C241" s="49" t="s">
        <v>1402</v>
      </c>
      <c r="D241" s="88" t="s">
        <v>1415</v>
      </c>
      <c r="E241" s="48">
        <v>20105</v>
      </c>
      <c r="F241" s="4" t="s">
        <v>1504</v>
      </c>
      <c r="G241" s="48">
        <v>10312</v>
      </c>
      <c r="H241" s="130">
        <v>6612</v>
      </c>
      <c r="I241">
        <v>0</v>
      </c>
      <c r="J241">
        <v>99020604</v>
      </c>
    </row>
    <row r="242" spans="1:10">
      <c r="A242" s="48">
        <v>10313</v>
      </c>
      <c r="B242" s="48">
        <v>3</v>
      </c>
      <c r="C242" s="49" t="s">
        <v>1403</v>
      </c>
      <c r="D242" s="88" t="s">
        <v>1416</v>
      </c>
      <c r="E242" s="48">
        <v>20105</v>
      </c>
      <c r="F242" s="4" t="s">
        <v>1504</v>
      </c>
      <c r="G242" s="48">
        <v>10313</v>
      </c>
      <c r="H242" s="130">
        <v>6613</v>
      </c>
      <c r="I242" s="4">
        <v>0</v>
      </c>
      <c r="J242">
        <v>99020604</v>
      </c>
    </row>
    <row r="243" spans="1:10">
      <c r="A243" s="48">
        <v>10314</v>
      </c>
      <c r="B243" s="48">
        <v>3</v>
      </c>
      <c r="C243" s="49" t="s">
        <v>1404</v>
      </c>
      <c r="D243" s="88" t="s">
        <v>1417</v>
      </c>
      <c r="E243" s="48">
        <v>20106</v>
      </c>
      <c r="F243" s="4" t="s">
        <v>1505</v>
      </c>
      <c r="G243" s="48">
        <v>10314</v>
      </c>
      <c r="H243" s="130">
        <v>6614</v>
      </c>
      <c r="I243">
        <v>0</v>
      </c>
      <c r="J243">
        <v>99020604</v>
      </c>
    </row>
    <row r="244" spans="1:10" s="147" customFormat="1">
      <c r="A244" s="147">
        <v>10315</v>
      </c>
      <c r="B244" s="147">
        <v>1</v>
      </c>
      <c r="C244" s="49" t="s">
        <v>1405</v>
      </c>
      <c r="D244" s="88" t="s">
        <v>390</v>
      </c>
      <c r="E244" s="48">
        <v>20106</v>
      </c>
      <c r="F244" s="4" t="s">
        <v>1505</v>
      </c>
      <c r="G244" s="147">
        <v>10315</v>
      </c>
      <c r="H244" s="148">
        <v>6615</v>
      </c>
      <c r="I244" s="4">
        <v>0</v>
      </c>
      <c r="J244">
        <v>99020604</v>
      </c>
    </row>
    <row r="245" spans="1:10">
      <c r="A245" s="48">
        <v>10316</v>
      </c>
      <c r="B245" s="48">
        <v>3</v>
      </c>
      <c r="C245" s="49" t="s">
        <v>1435</v>
      </c>
      <c r="D245" s="88" t="s">
        <v>1418</v>
      </c>
      <c r="E245" s="48">
        <v>20106</v>
      </c>
      <c r="F245" s="4" t="s">
        <v>1505</v>
      </c>
      <c r="G245" s="48">
        <v>10316</v>
      </c>
      <c r="H245" s="130">
        <v>6616</v>
      </c>
      <c r="I245">
        <v>0</v>
      </c>
      <c r="J245">
        <v>99020604</v>
      </c>
    </row>
    <row r="246" spans="1:10">
      <c r="A246" s="48">
        <v>10401</v>
      </c>
      <c r="B246" s="48">
        <v>3</v>
      </c>
      <c r="C246" s="49" t="s">
        <v>1436</v>
      </c>
      <c r="D246" s="131" t="s">
        <v>1419</v>
      </c>
      <c r="E246" s="48">
        <v>20201</v>
      </c>
      <c r="F246" s="4" t="s">
        <v>1506</v>
      </c>
      <c r="G246" s="48">
        <v>10401</v>
      </c>
      <c r="H246" s="130">
        <v>6701</v>
      </c>
      <c r="I246" s="4">
        <v>0</v>
      </c>
      <c r="J246" s="134">
        <v>99030604</v>
      </c>
    </row>
    <row r="247" spans="1:10">
      <c r="A247" s="48">
        <v>10402</v>
      </c>
      <c r="B247" s="48">
        <v>3</v>
      </c>
      <c r="C247" s="49" t="s">
        <v>1437</v>
      </c>
      <c r="D247" s="131" t="s">
        <v>1420</v>
      </c>
      <c r="E247" s="48">
        <v>20201</v>
      </c>
      <c r="F247" s="4" t="s">
        <v>1506</v>
      </c>
      <c r="G247" s="48">
        <v>10402</v>
      </c>
      <c r="H247" s="130">
        <v>6702</v>
      </c>
      <c r="I247">
        <v>0</v>
      </c>
      <c r="J247" s="134">
        <v>99030604</v>
      </c>
    </row>
    <row r="248" spans="1:10">
      <c r="A248" s="48">
        <v>10403</v>
      </c>
      <c r="B248" s="48">
        <v>3</v>
      </c>
      <c r="C248" s="49" t="s">
        <v>1438</v>
      </c>
      <c r="D248" s="131" t="s">
        <v>1421</v>
      </c>
      <c r="E248" s="48">
        <v>20201</v>
      </c>
      <c r="F248" s="4" t="s">
        <v>1506</v>
      </c>
      <c r="G248" s="48">
        <v>10403</v>
      </c>
      <c r="H248" s="130">
        <v>6703</v>
      </c>
      <c r="I248" s="4">
        <v>0</v>
      </c>
      <c r="J248" s="134">
        <v>99030604</v>
      </c>
    </row>
    <row r="249" spans="1:10">
      <c r="A249" s="48">
        <v>10404</v>
      </c>
      <c r="B249" s="48">
        <v>3</v>
      </c>
      <c r="C249" s="49" t="s">
        <v>1439</v>
      </c>
      <c r="D249" s="131" t="s">
        <v>1422</v>
      </c>
      <c r="E249" s="48">
        <v>20202</v>
      </c>
      <c r="F249" s="4" t="s">
        <v>1507</v>
      </c>
      <c r="G249" s="48">
        <v>10404</v>
      </c>
      <c r="H249" s="130">
        <v>6704</v>
      </c>
      <c r="I249">
        <v>0</v>
      </c>
      <c r="J249" s="134">
        <v>99030604</v>
      </c>
    </row>
    <row r="250" spans="1:10">
      <c r="A250" s="48">
        <v>10405</v>
      </c>
      <c r="B250" s="48">
        <v>3</v>
      </c>
      <c r="C250" s="49" t="s">
        <v>1440</v>
      </c>
      <c r="D250" s="131" t="s">
        <v>1423</v>
      </c>
      <c r="E250" s="48">
        <v>20202</v>
      </c>
      <c r="F250" s="4" t="s">
        <v>1507</v>
      </c>
      <c r="G250" s="48">
        <v>10405</v>
      </c>
      <c r="H250" s="130">
        <v>6705</v>
      </c>
      <c r="I250" s="4">
        <v>0</v>
      </c>
      <c r="J250" s="134">
        <v>99030604</v>
      </c>
    </row>
    <row r="251" spans="1:10">
      <c r="A251" s="48">
        <v>10406</v>
      </c>
      <c r="B251" s="48">
        <v>3</v>
      </c>
      <c r="C251" s="49" t="s">
        <v>1441</v>
      </c>
      <c r="D251" s="131" t="s">
        <v>1424</v>
      </c>
      <c r="E251" s="48">
        <v>20203</v>
      </c>
      <c r="F251" s="4" t="s">
        <v>1508</v>
      </c>
      <c r="G251" s="48">
        <v>10406</v>
      </c>
      <c r="H251" s="130">
        <v>6706</v>
      </c>
      <c r="I251">
        <v>0</v>
      </c>
      <c r="J251" s="134">
        <v>99030604</v>
      </c>
    </row>
    <row r="252" spans="1:10">
      <c r="A252" s="48">
        <v>10407</v>
      </c>
      <c r="B252" s="48">
        <v>3</v>
      </c>
      <c r="C252" s="49" t="s">
        <v>1442</v>
      </c>
      <c r="D252" s="131" t="s">
        <v>1425</v>
      </c>
      <c r="E252" s="48">
        <v>20203</v>
      </c>
      <c r="F252" s="4" t="s">
        <v>1508</v>
      </c>
      <c r="G252" s="48">
        <v>10407</v>
      </c>
      <c r="H252" s="130">
        <v>6707</v>
      </c>
      <c r="I252" s="4">
        <v>0</v>
      </c>
      <c r="J252" s="134">
        <v>99030604</v>
      </c>
    </row>
    <row r="253" spans="1:10">
      <c r="A253" s="48">
        <v>10408</v>
      </c>
      <c r="B253" s="48">
        <v>3</v>
      </c>
      <c r="C253" s="49" t="s">
        <v>1443</v>
      </c>
      <c r="D253" s="131" t="s">
        <v>1426</v>
      </c>
      <c r="E253" s="48">
        <f t="shared" ref="E253:E254" si="0">E251+1</f>
        <v>20204</v>
      </c>
      <c r="F253" s="4" t="s">
        <v>1509</v>
      </c>
      <c r="G253" s="48">
        <v>10408</v>
      </c>
      <c r="H253" s="130">
        <v>6708</v>
      </c>
      <c r="I253">
        <v>0</v>
      </c>
      <c r="J253" s="134">
        <v>99030604</v>
      </c>
    </row>
    <row r="254" spans="1:10" s="42" customFormat="1">
      <c r="A254" s="42">
        <v>10409</v>
      </c>
      <c r="B254" s="42">
        <v>1</v>
      </c>
      <c r="C254" s="49" t="s">
        <v>1444</v>
      </c>
      <c r="D254" s="132" t="s">
        <v>1427</v>
      </c>
      <c r="E254" s="48">
        <f t="shared" si="0"/>
        <v>20204</v>
      </c>
      <c r="F254" s="4" t="s">
        <v>1509</v>
      </c>
      <c r="G254" s="42">
        <v>10409</v>
      </c>
      <c r="H254" s="133">
        <v>6709</v>
      </c>
      <c r="I254" s="4">
        <v>0</v>
      </c>
      <c r="J254" s="134">
        <v>99030604</v>
      </c>
    </row>
    <row r="255" spans="1:10">
      <c r="A255" s="48">
        <v>10410</v>
      </c>
      <c r="B255" s="48">
        <v>3</v>
      </c>
      <c r="C255" s="49" t="s">
        <v>1445</v>
      </c>
      <c r="D255" s="131" t="s">
        <v>1428</v>
      </c>
      <c r="E255" s="48">
        <v>20205</v>
      </c>
      <c r="F255" s="4" t="s">
        <v>1510</v>
      </c>
      <c r="G255" s="48">
        <v>10410</v>
      </c>
      <c r="H255" s="130">
        <v>6710</v>
      </c>
      <c r="I255">
        <v>0</v>
      </c>
      <c r="J255" s="134">
        <v>99030604</v>
      </c>
    </row>
    <row r="256" spans="1:10">
      <c r="A256" s="48">
        <v>10411</v>
      </c>
      <c r="B256" s="48">
        <v>3</v>
      </c>
      <c r="C256" s="49" t="s">
        <v>1446</v>
      </c>
      <c r="D256" s="131" t="s">
        <v>1429</v>
      </c>
      <c r="E256" s="48">
        <v>20205</v>
      </c>
      <c r="F256" s="4" t="s">
        <v>1510</v>
      </c>
      <c r="G256" s="48">
        <v>10411</v>
      </c>
      <c r="H256" s="130">
        <v>6711</v>
      </c>
      <c r="I256" s="4">
        <v>0</v>
      </c>
      <c r="J256" s="134">
        <v>99030604</v>
      </c>
    </row>
    <row r="257" spans="1:10">
      <c r="A257" s="48">
        <v>10412</v>
      </c>
      <c r="B257" s="48">
        <v>3</v>
      </c>
      <c r="C257" s="49" t="s">
        <v>1447</v>
      </c>
      <c r="D257" s="131" t="s">
        <v>1430</v>
      </c>
      <c r="E257" s="48">
        <v>20205</v>
      </c>
      <c r="F257" s="4" t="s">
        <v>1510</v>
      </c>
      <c r="G257" s="48">
        <v>10412</v>
      </c>
      <c r="H257" s="130">
        <v>6712</v>
      </c>
      <c r="I257">
        <v>0</v>
      </c>
      <c r="J257" s="134">
        <v>99030604</v>
      </c>
    </row>
    <row r="258" spans="1:10">
      <c r="A258" s="48">
        <v>10413</v>
      </c>
      <c r="B258" s="48">
        <v>3</v>
      </c>
      <c r="C258" s="49" t="s">
        <v>1448</v>
      </c>
      <c r="D258" s="131" t="s">
        <v>1431</v>
      </c>
      <c r="E258" s="48">
        <v>20205</v>
      </c>
      <c r="F258" s="4" t="s">
        <v>1510</v>
      </c>
      <c r="G258" s="48">
        <v>10413</v>
      </c>
      <c r="H258" s="130">
        <v>6713</v>
      </c>
      <c r="I258" s="4">
        <v>0</v>
      </c>
      <c r="J258" s="134">
        <v>99030604</v>
      </c>
    </row>
    <row r="259" spans="1:10">
      <c r="A259" s="48">
        <v>10414</v>
      </c>
      <c r="B259" s="48">
        <v>3</v>
      </c>
      <c r="C259" s="49" t="s">
        <v>1449</v>
      </c>
      <c r="D259" s="131" t="s">
        <v>1432</v>
      </c>
      <c r="E259" s="48">
        <v>20205</v>
      </c>
      <c r="F259" s="4" t="s">
        <v>1510</v>
      </c>
      <c r="G259" s="48">
        <v>10414</v>
      </c>
      <c r="H259" s="130">
        <v>6714</v>
      </c>
      <c r="I259">
        <v>0</v>
      </c>
      <c r="J259" s="134">
        <v>99030604</v>
      </c>
    </row>
    <row r="260" spans="1:10">
      <c r="A260" s="48">
        <v>10415</v>
      </c>
      <c r="B260" s="48">
        <v>3</v>
      </c>
      <c r="C260" s="49" t="s">
        <v>1533</v>
      </c>
      <c r="D260" s="131" t="s">
        <v>1450</v>
      </c>
      <c r="E260" s="48">
        <v>20206</v>
      </c>
      <c r="F260" s="4" t="s">
        <v>1511</v>
      </c>
      <c r="G260" s="48">
        <v>10415</v>
      </c>
      <c r="H260" s="130">
        <v>6715</v>
      </c>
      <c r="I260" s="4">
        <v>0</v>
      </c>
      <c r="J260" s="134">
        <v>99030604</v>
      </c>
    </row>
    <row r="261" spans="1:10" s="42" customFormat="1">
      <c r="A261" s="48">
        <v>10416</v>
      </c>
      <c r="B261" s="42">
        <v>1</v>
      </c>
      <c r="C261" s="49" t="s">
        <v>1534</v>
      </c>
      <c r="D261" s="132" t="s">
        <v>1451</v>
      </c>
      <c r="E261" s="48">
        <v>20206</v>
      </c>
      <c r="F261" s="4" t="s">
        <v>1511</v>
      </c>
      <c r="G261" s="48">
        <v>10416</v>
      </c>
      <c r="H261" s="133">
        <v>6715</v>
      </c>
      <c r="I261">
        <v>0</v>
      </c>
      <c r="J261" s="134">
        <v>99030604</v>
      </c>
    </row>
    <row r="262" spans="1:10">
      <c r="A262" s="48">
        <v>10417</v>
      </c>
      <c r="B262" s="48">
        <v>3</v>
      </c>
      <c r="C262" s="49" t="s">
        <v>1535</v>
      </c>
      <c r="D262" s="131" t="s">
        <v>1433</v>
      </c>
      <c r="E262" s="48">
        <v>20206</v>
      </c>
      <c r="F262" s="4" t="s">
        <v>1511</v>
      </c>
      <c r="G262" s="48">
        <v>10417</v>
      </c>
      <c r="H262" s="130">
        <v>6716</v>
      </c>
      <c r="I262" s="4">
        <v>0</v>
      </c>
      <c r="J262" s="134">
        <v>99030604</v>
      </c>
    </row>
    <row r="263" spans="1:10">
      <c r="A263" s="48">
        <v>10418</v>
      </c>
      <c r="B263" s="48">
        <v>3</v>
      </c>
      <c r="C263" s="49" t="s">
        <v>1452</v>
      </c>
      <c r="D263" s="131" t="s">
        <v>1434</v>
      </c>
      <c r="E263" s="48">
        <v>20206</v>
      </c>
      <c r="F263" s="4" t="s">
        <v>1511</v>
      </c>
      <c r="G263" s="48">
        <v>10418</v>
      </c>
      <c r="H263" s="130">
        <v>6717</v>
      </c>
      <c r="I263">
        <v>0</v>
      </c>
      <c r="J263" s="134">
        <v>99030604</v>
      </c>
    </row>
    <row r="264" spans="1:10">
      <c r="A264" s="48">
        <v>10501</v>
      </c>
      <c r="B264" s="48">
        <v>3</v>
      </c>
      <c r="C264" s="49" t="s">
        <v>1768</v>
      </c>
      <c r="D264" s="131" t="s">
        <v>1769</v>
      </c>
      <c r="E264" s="4">
        <v>20301</v>
      </c>
      <c r="F264" s="149" t="s">
        <v>1770</v>
      </c>
      <c r="G264" s="48">
        <v>10501</v>
      </c>
      <c r="H264">
        <v>6501</v>
      </c>
      <c r="I264" s="4">
        <v>0</v>
      </c>
      <c r="J264">
        <v>99040604</v>
      </c>
    </row>
    <row r="265" spans="1:10">
      <c r="A265" s="48">
        <v>10502</v>
      </c>
      <c r="B265" s="48">
        <v>3</v>
      </c>
      <c r="C265" s="49" t="s">
        <v>1771</v>
      </c>
      <c r="D265" s="131" t="s">
        <v>1772</v>
      </c>
      <c r="E265" s="4">
        <v>20301</v>
      </c>
      <c r="F265" s="149" t="s">
        <v>1770</v>
      </c>
      <c r="G265" s="48">
        <v>10502</v>
      </c>
      <c r="H265">
        <v>6502</v>
      </c>
      <c r="I265">
        <v>0</v>
      </c>
      <c r="J265">
        <v>99040604</v>
      </c>
    </row>
    <row r="266" spans="1:10">
      <c r="A266" s="48">
        <v>10503</v>
      </c>
      <c r="B266" s="48">
        <v>3</v>
      </c>
      <c r="C266" s="49" t="s">
        <v>1773</v>
      </c>
      <c r="D266" s="131" t="s">
        <v>1774</v>
      </c>
      <c r="E266" s="4">
        <v>20302</v>
      </c>
      <c r="F266" s="149" t="s">
        <v>1775</v>
      </c>
      <c r="G266" s="48">
        <v>10503</v>
      </c>
      <c r="H266">
        <v>6503</v>
      </c>
      <c r="I266" s="4">
        <v>0</v>
      </c>
      <c r="J266">
        <v>99040604</v>
      </c>
    </row>
    <row r="267" spans="1:10">
      <c r="A267" s="48">
        <v>10504</v>
      </c>
      <c r="B267" s="48">
        <v>3</v>
      </c>
      <c r="C267" s="49" t="s">
        <v>1776</v>
      </c>
      <c r="D267" s="131" t="s">
        <v>1777</v>
      </c>
      <c r="E267" s="4">
        <v>20302</v>
      </c>
      <c r="F267" s="149" t="s">
        <v>1775</v>
      </c>
      <c r="G267" s="48">
        <v>10504</v>
      </c>
      <c r="H267">
        <v>6504</v>
      </c>
      <c r="I267">
        <v>0</v>
      </c>
      <c r="J267">
        <v>99040604</v>
      </c>
    </row>
    <row r="268" spans="1:10">
      <c r="A268" s="48">
        <v>10505</v>
      </c>
      <c r="B268" s="48">
        <v>3</v>
      </c>
      <c r="C268" s="49" t="s">
        <v>1778</v>
      </c>
      <c r="D268" s="150" t="s">
        <v>1779</v>
      </c>
      <c r="E268" s="4">
        <v>20303</v>
      </c>
      <c r="F268" s="151" t="s">
        <v>1780</v>
      </c>
      <c r="G268" s="48">
        <v>10505</v>
      </c>
      <c r="H268">
        <v>6505</v>
      </c>
      <c r="I268" s="4">
        <v>0</v>
      </c>
      <c r="J268">
        <v>99040604</v>
      </c>
    </row>
    <row r="269" spans="1:10">
      <c r="A269" s="48">
        <v>10506</v>
      </c>
      <c r="B269" s="48">
        <v>3</v>
      </c>
      <c r="C269" s="49" t="s">
        <v>1781</v>
      </c>
      <c r="D269" s="150" t="s">
        <v>1782</v>
      </c>
      <c r="E269" s="4">
        <v>20303</v>
      </c>
      <c r="F269" s="151" t="s">
        <v>1780</v>
      </c>
      <c r="G269" s="48">
        <v>10506</v>
      </c>
      <c r="H269">
        <v>6506</v>
      </c>
      <c r="I269">
        <v>0</v>
      </c>
      <c r="J269">
        <v>99040604</v>
      </c>
    </row>
    <row r="270" spans="1:10">
      <c r="A270" s="48">
        <v>10507</v>
      </c>
      <c r="B270" s="48">
        <v>3</v>
      </c>
      <c r="C270" s="49" t="s">
        <v>1783</v>
      </c>
      <c r="D270" s="150" t="s">
        <v>1784</v>
      </c>
      <c r="E270" s="4">
        <v>20303</v>
      </c>
      <c r="F270" s="151" t="s">
        <v>1780</v>
      </c>
      <c r="G270" s="48">
        <v>10507</v>
      </c>
      <c r="H270">
        <v>6507</v>
      </c>
      <c r="I270" s="4">
        <v>0</v>
      </c>
      <c r="J270">
        <v>99040604</v>
      </c>
    </row>
    <row r="271" spans="1:10">
      <c r="A271" s="48">
        <v>10508</v>
      </c>
      <c r="B271" s="48">
        <v>3</v>
      </c>
      <c r="C271" s="49" t="s">
        <v>1785</v>
      </c>
      <c r="D271" s="150" t="s">
        <v>1786</v>
      </c>
      <c r="E271" s="4">
        <v>20304</v>
      </c>
      <c r="F271" s="153" t="s">
        <v>1789</v>
      </c>
      <c r="G271" s="48">
        <v>10508</v>
      </c>
      <c r="H271">
        <v>6508</v>
      </c>
      <c r="I271">
        <v>0</v>
      </c>
      <c r="J271">
        <v>99040604</v>
      </c>
    </row>
    <row r="272" spans="1:10">
      <c r="A272" s="48">
        <v>10509</v>
      </c>
      <c r="B272" s="48">
        <v>3</v>
      </c>
      <c r="C272" s="49" t="s">
        <v>1787</v>
      </c>
      <c r="D272" s="152" t="s">
        <v>1788</v>
      </c>
      <c r="E272" s="4">
        <v>20304</v>
      </c>
      <c r="F272" s="153" t="s">
        <v>1789</v>
      </c>
      <c r="G272" s="48">
        <v>10509</v>
      </c>
      <c r="H272">
        <v>6509</v>
      </c>
      <c r="I272" s="4">
        <v>0</v>
      </c>
      <c r="J272">
        <v>99040604</v>
      </c>
    </row>
    <row r="273" spans="1:10">
      <c r="A273" s="48">
        <v>10510</v>
      </c>
      <c r="B273" s="48">
        <v>3</v>
      </c>
      <c r="C273" s="49" t="s">
        <v>1790</v>
      </c>
      <c r="D273" s="152" t="s">
        <v>1791</v>
      </c>
      <c r="E273" s="4">
        <v>20304</v>
      </c>
      <c r="F273" s="153" t="s">
        <v>1789</v>
      </c>
      <c r="G273" s="48">
        <v>10510</v>
      </c>
      <c r="H273">
        <v>6510</v>
      </c>
      <c r="I273">
        <v>0</v>
      </c>
      <c r="J273">
        <v>99040604</v>
      </c>
    </row>
    <row r="274" spans="1:10">
      <c r="A274" s="48">
        <v>10511</v>
      </c>
      <c r="B274" s="48">
        <v>3</v>
      </c>
      <c r="C274" s="49" t="s">
        <v>1792</v>
      </c>
      <c r="D274" s="152" t="s">
        <v>1793</v>
      </c>
      <c r="E274" s="4">
        <v>20305</v>
      </c>
      <c r="F274" s="153" t="s">
        <v>1794</v>
      </c>
      <c r="G274" s="48">
        <v>10511</v>
      </c>
      <c r="H274">
        <v>6511</v>
      </c>
      <c r="I274" s="4">
        <v>0</v>
      </c>
      <c r="J274">
        <v>99040604</v>
      </c>
    </row>
    <row r="275" spans="1:10">
      <c r="A275" s="48">
        <v>10512</v>
      </c>
      <c r="B275" s="48">
        <v>3</v>
      </c>
      <c r="C275" s="49" t="s">
        <v>1795</v>
      </c>
      <c r="D275" s="152" t="s">
        <v>1796</v>
      </c>
      <c r="E275" s="4">
        <v>20305</v>
      </c>
      <c r="F275" s="153" t="s">
        <v>1794</v>
      </c>
      <c r="G275" s="48">
        <v>10512</v>
      </c>
      <c r="H275">
        <v>6512</v>
      </c>
      <c r="I275">
        <v>0</v>
      </c>
      <c r="J275">
        <v>99040604</v>
      </c>
    </row>
    <row r="276" spans="1:10">
      <c r="A276" s="48">
        <v>10513</v>
      </c>
      <c r="B276" s="48">
        <v>3</v>
      </c>
      <c r="C276" s="49" t="s">
        <v>1797</v>
      </c>
      <c r="D276" s="154" t="s">
        <v>1798</v>
      </c>
      <c r="E276" s="4">
        <v>20305</v>
      </c>
      <c r="F276" s="153" t="s">
        <v>1794</v>
      </c>
      <c r="G276" s="48">
        <v>10513</v>
      </c>
      <c r="H276">
        <v>6513</v>
      </c>
      <c r="I276" s="4">
        <v>0</v>
      </c>
      <c r="J276">
        <v>99040604</v>
      </c>
    </row>
    <row r="277" spans="1:10">
      <c r="A277" s="48">
        <v>10514</v>
      </c>
      <c r="B277" s="48">
        <v>3</v>
      </c>
      <c r="C277" s="49" t="s">
        <v>1799</v>
      </c>
      <c r="D277" s="154" t="s">
        <v>1288</v>
      </c>
      <c r="E277" s="4">
        <v>20306</v>
      </c>
      <c r="F277" s="155" t="s">
        <v>1802</v>
      </c>
      <c r="G277" s="48">
        <v>10514</v>
      </c>
      <c r="H277">
        <v>6514</v>
      </c>
      <c r="I277">
        <v>0</v>
      </c>
      <c r="J277">
        <v>99040604</v>
      </c>
    </row>
    <row r="278" spans="1:10">
      <c r="A278" s="48">
        <v>10515</v>
      </c>
      <c r="B278" s="48">
        <v>3</v>
      </c>
      <c r="C278" s="49" t="s">
        <v>1800</v>
      </c>
      <c r="D278" s="154" t="s">
        <v>1801</v>
      </c>
      <c r="E278" s="4">
        <v>20306</v>
      </c>
      <c r="F278" s="155" t="s">
        <v>1802</v>
      </c>
      <c r="G278" s="48">
        <v>10515</v>
      </c>
      <c r="H278">
        <v>6515</v>
      </c>
      <c r="I278" s="4">
        <v>0</v>
      </c>
      <c r="J278">
        <v>99040604</v>
      </c>
    </row>
    <row r="279" spans="1:10">
      <c r="A279" s="48">
        <v>10516</v>
      </c>
      <c r="B279" s="48">
        <v>3</v>
      </c>
      <c r="C279" s="49" t="s">
        <v>1803</v>
      </c>
      <c r="D279" s="154" t="s">
        <v>1804</v>
      </c>
      <c r="E279" s="4">
        <v>20306</v>
      </c>
      <c r="F279" s="155" t="s">
        <v>1802</v>
      </c>
      <c r="G279" s="48">
        <v>10516</v>
      </c>
      <c r="H279">
        <v>6516</v>
      </c>
      <c r="I279">
        <v>0</v>
      </c>
      <c r="J279">
        <v>99040604</v>
      </c>
    </row>
    <row r="280" spans="1:10">
      <c r="A280" s="48">
        <v>10601</v>
      </c>
      <c r="B280" s="48">
        <v>1</v>
      </c>
      <c r="C280" s="49" t="s">
        <v>1828</v>
      </c>
      <c r="D280" s="131" t="s">
        <v>1829</v>
      </c>
      <c r="E280" s="4">
        <v>20401</v>
      </c>
      <c r="F280" s="127" t="s">
        <v>1845</v>
      </c>
      <c r="G280" s="48">
        <v>10601</v>
      </c>
      <c r="H280">
        <v>1201</v>
      </c>
      <c r="I280" s="4">
        <v>0</v>
      </c>
      <c r="J280" s="147">
        <v>99110808</v>
      </c>
    </row>
    <row r="281" spans="1:10">
      <c r="A281" s="48">
        <v>10602</v>
      </c>
      <c r="B281" s="48">
        <v>1</v>
      </c>
      <c r="C281" s="49" t="s">
        <v>1853</v>
      </c>
      <c r="D281" s="131" t="s">
        <v>1830</v>
      </c>
      <c r="E281" s="4">
        <v>20401</v>
      </c>
      <c r="F281" s="127" t="s">
        <v>1845</v>
      </c>
      <c r="G281" s="48">
        <v>10602</v>
      </c>
      <c r="H281">
        <v>1202</v>
      </c>
      <c r="I281">
        <v>0</v>
      </c>
      <c r="J281" s="147">
        <v>99110808</v>
      </c>
    </row>
    <row r="282" spans="1:10">
      <c r="A282" s="48">
        <v>10603</v>
      </c>
      <c r="B282" s="48">
        <v>1</v>
      </c>
      <c r="C282" s="49" t="s">
        <v>1854</v>
      </c>
      <c r="D282" s="156" t="s">
        <v>1831</v>
      </c>
      <c r="E282" s="4">
        <v>20402</v>
      </c>
      <c r="F282" s="127" t="s">
        <v>1846</v>
      </c>
      <c r="G282" s="48">
        <v>10603</v>
      </c>
      <c r="H282">
        <v>1203</v>
      </c>
      <c r="I282" s="4">
        <v>0</v>
      </c>
      <c r="J282" s="147">
        <v>99110808</v>
      </c>
    </row>
    <row r="283" spans="1:10">
      <c r="A283" s="48">
        <v>10604</v>
      </c>
      <c r="B283" s="48">
        <v>3</v>
      </c>
      <c r="C283" s="49" t="s">
        <v>1855</v>
      </c>
      <c r="D283" s="131" t="s">
        <v>1832</v>
      </c>
      <c r="E283" s="4">
        <v>20402</v>
      </c>
      <c r="F283" s="127" t="s">
        <v>1846</v>
      </c>
      <c r="G283" s="48">
        <v>10604</v>
      </c>
      <c r="H283">
        <v>1204</v>
      </c>
      <c r="I283">
        <v>0</v>
      </c>
      <c r="J283" s="147">
        <v>99110808</v>
      </c>
    </row>
    <row r="284" spans="1:10">
      <c r="A284" s="48">
        <v>10605</v>
      </c>
      <c r="B284" s="48">
        <v>1</v>
      </c>
      <c r="C284" s="49" t="s">
        <v>1856</v>
      </c>
      <c r="D284" s="150" t="s">
        <v>1833</v>
      </c>
      <c r="E284" s="4">
        <v>20403</v>
      </c>
      <c r="F284" s="124" t="s">
        <v>1847</v>
      </c>
      <c r="G284" s="48">
        <v>10605</v>
      </c>
      <c r="H284">
        <v>1205</v>
      </c>
      <c r="I284" s="4">
        <v>0</v>
      </c>
      <c r="J284" s="147">
        <v>99110808</v>
      </c>
    </row>
    <row r="285" spans="1:10">
      <c r="A285" s="48">
        <v>10606</v>
      </c>
      <c r="B285" s="48">
        <v>3</v>
      </c>
      <c r="C285" s="49" t="s">
        <v>1857</v>
      </c>
      <c r="D285" s="150" t="s">
        <v>1834</v>
      </c>
      <c r="E285" s="4">
        <v>20403</v>
      </c>
      <c r="F285" s="124" t="s">
        <v>1847</v>
      </c>
      <c r="G285" s="48">
        <v>10606</v>
      </c>
      <c r="H285">
        <v>1206</v>
      </c>
      <c r="I285">
        <v>0</v>
      </c>
      <c r="J285" s="147">
        <v>99110808</v>
      </c>
    </row>
    <row r="286" spans="1:10">
      <c r="A286" s="48">
        <v>10607</v>
      </c>
      <c r="B286" s="48">
        <v>3</v>
      </c>
      <c r="C286" s="49" t="s">
        <v>1858</v>
      </c>
      <c r="D286" s="150" t="s">
        <v>1835</v>
      </c>
      <c r="E286" s="4">
        <v>20404</v>
      </c>
      <c r="F286" s="124" t="s">
        <v>1848</v>
      </c>
      <c r="G286" s="48">
        <v>10607</v>
      </c>
      <c r="H286">
        <v>1207</v>
      </c>
      <c r="I286" s="4">
        <v>0</v>
      </c>
      <c r="J286" s="147">
        <v>99110808</v>
      </c>
    </row>
    <row r="287" spans="1:10">
      <c r="A287" s="48">
        <v>10608</v>
      </c>
      <c r="B287" s="48">
        <v>1</v>
      </c>
      <c r="C287" s="49" t="s">
        <v>1859</v>
      </c>
      <c r="D287" s="157" t="s">
        <v>1836</v>
      </c>
      <c r="E287" s="4">
        <v>20404</v>
      </c>
      <c r="F287" s="124" t="s">
        <v>1848</v>
      </c>
      <c r="G287" s="48">
        <v>10608</v>
      </c>
      <c r="H287">
        <v>1208</v>
      </c>
      <c r="I287">
        <v>0</v>
      </c>
      <c r="J287" s="147">
        <v>99110808</v>
      </c>
    </row>
    <row r="288" spans="1:10">
      <c r="A288" s="48">
        <v>10609</v>
      </c>
      <c r="B288" s="48">
        <v>1</v>
      </c>
      <c r="C288" s="49" t="s">
        <v>1860</v>
      </c>
      <c r="D288" s="158" t="s">
        <v>1837</v>
      </c>
      <c r="E288" s="4">
        <v>20405</v>
      </c>
      <c r="F288" s="160" t="s">
        <v>1849</v>
      </c>
      <c r="G288" s="48">
        <v>10609</v>
      </c>
      <c r="H288">
        <v>1209</v>
      </c>
      <c r="I288" s="4">
        <v>0</v>
      </c>
      <c r="J288" s="147">
        <v>99110808</v>
      </c>
    </row>
    <row r="289" spans="1:10">
      <c r="A289" s="48">
        <v>10610</v>
      </c>
      <c r="B289" s="48">
        <v>1</v>
      </c>
      <c r="C289" s="49" t="s">
        <v>1861</v>
      </c>
      <c r="D289" s="152" t="s">
        <v>1838</v>
      </c>
      <c r="E289" s="4">
        <v>20405</v>
      </c>
      <c r="F289" s="160" t="s">
        <v>1849</v>
      </c>
      <c r="G289" s="48">
        <v>10610</v>
      </c>
      <c r="H289">
        <v>1210</v>
      </c>
      <c r="I289">
        <v>0</v>
      </c>
      <c r="J289" s="147">
        <v>99110808</v>
      </c>
    </row>
    <row r="290" spans="1:10">
      <c r="A290" s="48">
        <v>10611</v>
      </c>
      <c r="B290" s="48">
        <v>1</v>
      </c>
      <c r="C290" s="49" t="s">
        <v>1862</v>
      </c>
      <c r="D290" s="152" t="s">
        <v>1839</v>
      </c>
      <c r="E290" s="4">
        <v>20406</v>
      </c>
      <c r="F290" s="160" t="s">
        <v>1850</v>
      </c>
      <c r="G290" s="48">
        <v>10611</v>
      </c>
      <c r="H290">
        <v>1211</v>
      </c>
      <c r="I290" s="4">
        <v>0</v>
      </c>
      <c r="J290" s="147">
        <v>99110808</v>
      </c>
    </row>
    <row r="291" spans="1:10">
      <c r="A291" s="48">
        <v>10612</v>
      </c>
      <c r="B291" s="48">
        <v>3</v>
      </c>
      <c r="C291" s="49" t="s">
        <v>1863</v>
      </c>
      <c r="D291" s="152" t="s">
        <v>1840</v>
      </c>
      <c r="E291" s="4">
        <v>20406</v>
      </c>
      <c r="F291" s="160" t="s">
        <v>1850</v>
      </c>
      <c r="G291" s="48">
        <v>10612</v>
      </c>
      <c r="H291">
        <v>1212</v>
      </c>
      <c r="I291">
        <v>0</v>
      </c>
      <c r="J291" s="147">
        <v>99110808</v>
      </c>
    </row>
    <row r="292" spans="1:10">
      <c r="A292" s="48">
        <v>10613</v>
      </c>
      <c r="B292" s="48">
        <v>3</v>
      </c>
      <c r="C292" s="49" t="s">
        <v>1864</v>
      </c>
      <c r="D292" s="154" t="s">
        <v>1841</v>
      </c>
      <c r="E292" s="4">
        <v>20407</v>
      </c>
      <c r="F292" s="125" t="s">
        <v>1851</v>
      </c>
      <c r="G292" s="48">
        <v>10613</v>
      </c>
      <c r="H292">
        <v>1213</v>
      </c>
      <c r="I292" s="4">
        <v>0</v>
      </c>
      <c r="J292" s="147">
        <v>99110808</v>
      </c>
    </row>
    <row r="293" spans="1:10">
      <c r="A293" s="48">
        <v>10614</v>
      </c>
      <c r="B293" s="48">
        <v>1</v>
      </c>
      <c r="C293" s="49" t="s">
        <v>1865</v>
      </c>
      <c r="D293" s="159" t="s">
        <v>1842</v>
      </c>
      <c r="E293" s="4">
        <v>20407</v>
      </c>
      <c r="F293" s="125" t="s">
        <v>1851</v>
      </c>
      <c r="G293" s="48">
        <v>10614</v>
      </c>
      <c r="H293">
        <v>1214</v>
      </c>
      <c r="I293">
        <v>0</v>
      </c>
      <c r="J293" s="147">
        <v>99110808</v>
      </c>
    </row>
    <row r="294" spans="1:10">
      <c r="A294" s="48">
        <v>10615</v>
      </c>
      <c r="B294" s="48">
        <v>1</v>
      </c>
      <c r="C294" s="49" t="s">
        <v>1866</v>
      </c>
      <c r="D294" s="154" t="s">
        <v>1843</v>
      </c>
      <c r="E294" s="4">
        <v>20408</v>
      </c>
      <c r="F294" s="125" t="s">
        <v>1852</v>
      </c>
      <c r="G294" s="48">
        <v>10615</v>
      </c>
      <c r="H294">
        <v>1215</v>
      </c>
      <c r="I294" s="4">
        <v>0</v>
      </c>
      <c r="J294" s="147">
        <v>99110808</v>
      </c>
    </row>
    <row r="295" spans="1:10">
      <c r="A295" s="48">
        <v>10616</v>
      </c>
      <c r="B295" s="48">
        <v>3</v>
      </c>
      <c r="C295" s="49" t="s">
        <v>1867</v>
      </c>
      <c r="D295" s="154" t="s">
        <v>1844</v>
      </c>
      <c r="E295" s="4">
        <v>20408</v>
      </c>
      <c r="F295" s="125" t="s">
        <v>1852</v>
      </c>
      <c r="G295" s="48">
        <v>10616</v>
      </c>
      <c r="H295">
        <v>1216</v>
      </c>
      <c r="I295">
        <v>0</v>
      </c>
      <c r="J295" s="147">
        <v>99110808</v>
      </c>
    </row>
    <row r="296" spans="1:10">
      <c r="A296" s="48">
        <v>10701</v>
      </c>
      <c r="B296" s="48">
        <v>1</v>
      </c>
      <c r="C296" s="49" t="s">
        <v>2052</v>
      </c>
      <c r="D296" s="131" t="s">
        <v>2045</v>
      </c>
      <c r="E296" s="4">
        <v>20501</v>
      </c>
      <c r="F296" s="127" t="s">
        <v>2029</v>
      </c>
      <c r="G296" s="48">
        <v>10701</v>
      </c>
      <c r="H296">
        <v>4301</v>
      </c>
      <c r="I296" s="4">
        <v>0</v>
      </c>
      <c r="J296">
        <v>99120804</v>
      </c>
    </row>
    <row r="297" spans="1:10">
      <c r="A297" s="48">
        <v>10702</v>
      </c>
      <c r="B297" s="48">
        <v>1</v>
      </c>
      <c r="C297" s="49" t="s">
        <v>2053</v>
      </c>
      <c r="D297" s="131" t="s">
        <v>2030</v>
      </c>
      <c r="E297" s="4">
        <v>20501</v>
      </c>
      <c r="F297" s="127" t="s">
        <v>2029</v>
      </c>
      <c r="G297" s="48">
        <v>10702</v>
      </c>
      <c r="H297">
        <v>4302</v>
      </c>
      <c r="I297">
        <v>0</v>
      </c>
      <c r="J297">
        <v>99120804</v>
      </c>
    </row>
    <row r="298" spans="1:10">
      <c r="A298" s="48">
        <v>10703</v>
      </c>
      <c r="B298" s="48">
        <v>3</v>
      </c>
      <c r="C298" s="49" t="s">
        <v>2054</v>
      </c>
      <c r="D298" s="131" t="s">
        <v>2031</v>
      </c>
      <c r="E298" s="4">
        <v>20502</v>
      </c>
      <c r="F298" s="127" t="s">
        <v>2046</v>
      </c>
      <c r="G298" s="48">
        <v>10703</v>
      </c>
      <c r="H298">
        <v>4303</v>
      </c>
      <c r="I298" s="4">
        <v>0</v>
      </c>
      <c r="J298">
        <v>99120804</v>
      </c>
    </row>
    <row r="299" spans="1:10">
      <c r="A299" s="48">
        <v>10704</v>
      </c>
      <c r="B299" s="48">
        <v>3</v>
      </c>
      <c r="C299" s="49" t="s">
        <v>2055</v>
      </c>
      <c r="D299" s="131" t="s">
        <v>2032</v>
      </c>
      <c r="E299" s="4">
        <v>20502</v>
      </c>
      <c r="F299" s="127" t="s">
        <v>2046</v>
      </c>
      <c r="G299" s="48">
        <v>10704</v>
      </c>
      <c r="H299">
        <v>4304</v>
      </c>
      <c r="I299">
        <v>0</v>
      </c>
      <c r="J299">
        <v>99120804</v>
      </c>
    </row>
    <row r="300" spans="1:10">
      <c r="A300" s="48">
        <v>10705</v>
      </c>
      <c r="B300" s="48">
        <v>3</v>
      </c>
      <c r="C300" s="49" t="s">
        <v>2056</v>
      </c>
      <c r="D300" s="131" t="s">
        <v>2033</v>
      </c>
      <c r="E300" s="4">
        <v>20503</v>
      </c>
      <c r="F300" s="127" t="s">
        <v>2047</v>
      </c>
      <c r="G300" s="48">
        <v>10705</v>
      </c>
      <c r="H300">
        <v>4305</v>
      </c>
      <c r="I300" s="4">
        <v>0</v>
      </c>
      <c r="J300">
        <v>99120804</v>
      </c>
    </row>
    <row r="301" spans="1:10">
      <c r="A301" s="48">
        <v>10706</v>
      </c>
      <c r="B301" s="48">
        <v>3</v>
      </c>
      <c r="C301" s="49" t="s">
        <v>2057</v>
      </c>
      <c r="D301" s="131" t="s">
        <v>2034</v>
      </c>
      <c r="E301" s="4">
        <v>20503</v>
      </c>
      <c r="F301" s="127" t="s">
        <v>2047</v>
      </c>
      <c r="G301" s="48">
        <v>10706</v>
      </c>
      <c r="H301">
        <v>4306</v>
      </c>
      <c r="I301">
        <v>0</v>
      </c>
      <c r="J301">
        <v>99120804</v>
      </c>
    </row>
    <row r="302" spans="1:10">
      <c r="A302" s="48">
        <v>10707</v>
      </c>
      <c r="B302" s="48">
        <v>3</v>
      </c>
      <c r="C302" s="49" t="s">
        <v>2058</v>
      </c>
      <c r="D302" s="131" t="s">
        <v>2035</v>
      </c>
      <c r="E302" s="4">
        <v>20504</v>
      </c>
      <c r="F302" s="127" t="s">
        <v>2032</v>
      </c>
      <c r="G302" s="48">
        <v>10707</v>
      </c>
      <c r="H302">
        <v>4307</v>
      </c>
      <c r="I302" s="4">
        <v>0</v>
      </c>
      <c r="J302">
        <v>99120804</v>
      </c>
    </row>
    <row r="303" spans="1:10">
      <c r="A303" s="48">
        <v>10708</v>
      </c>
      <c r="B303" s="48">
        <v>3</v>
      </c>
      <c r="C303" s="49" t="s">
        <v>2059</v>
      </c>
      <c r="D303" s="131" t="s">
        <v>2036</v>
      </c>
      <c r="E303" s="4">
        <v>20504</v>
      </c>
      <c r="F303" s="127" t="s">
        <v>2032</v>
      </c>
      <c r="G303" s="48">
        <v>10708</v>
      </c>
      <c r="H303">
        <v>4308</v>
      </c>
      <c r="I303">
        <v>0</v>
      </c>
      <c r="J303">
        <v>99120804</v>
      </c>
    </row>
    <row r="304" spans="1:10">
      <c r="A304" s="48">
        <v>10709</v>
      </c>
      <c r="B304" s="48">
        <v>3</v>
      </c>
      <c r="C304" s="49" t="s">
        <v>2060</v>
      </c>
      <c r="D304" s="131" t="s">
        <v>2037</v>
      </c>
      <c r="E304" s="4">
        <v>20505</v>
      </c>
      <c r="F304" s="127" t="s">
        <v>2048</v>
      </c>
      <c r="G304" s="48">
        <v>10709</v>
      </c>
      <c r="H304">
        <v>4309</v>
      </c>
      <c r="I304" s="4">
        <v>0</v>
      </c>
      <c r="J304">
        <v>99120804</v>
      </c>
    </row>
    <row r="305" spans="1:10">
      <c r="A305" s="48">
        <v>10710</v>
      </c>
      <c r="B305" s="48">
        <v>3</v>
      </c>
      <c r="C305" s="49" t="s">
        <v>2061</v>
      </c>
      <c r="D305" s="131" t="s">
        <v>2038</v>
      </c>
      <c r="E305" s="4">
        <v>20505</v>
      </c>
      <c r="F305" s="127" t="s">
        <v>2048</v>
      </c>
      <c r="G305" s="48">
        <v>10710</v>
      </c>
      <c r="H305">
        <v>4310</v>
      </c>
      <c r="I305">
        <v>0</v>
      </c>
      <c r="J305">
        <v>99120804</v>
      </c>
    </row>
    <row r="306" spans="1:10">
      <c r="A306" s="48">
        <v>10711</v>
      </c>
      <c r="B306" s="48">
        <v>3</v>
      </c>
      <c r="C306" s="49" t="s">
        <v>2062</v>
      </c>
      <c r="D306" s="131" t="s">
        <v>2039</v>
      </c>
      <c r="E306" s="4">
        <v>20506</v>
      </c>
      <c r="F306" s="127" t="s">
        <v>2049</v>
      </c>
      <c r="G306" s="48">
        <v>10711</v>
      </c>
      <c r="H306">
        <v>4311</v>
      </c>
      <c r="I306" s="4">
        <v>0</v>
      </c>
      <c r="J306">
        <v>99120804</v>
      </c>
    </row>
    <row r="307" spans="1:10">
      <c r="A307" s="48">
        <v>10712</v>
      </c>
      <c r="B307" s="48">
        <v>3</v>
      </c>
      <c r="C307" s="49" t="s">
        <v>2063</v>
      </c>
      <c r="D307" s="131" t="s">
        <v>2040</v>
      </c>
      <c r="E307" s="4">
        <v>20506</v>
      </c>
      <c r="F307" s="127" t="s">
        <v>2049</v>
      </c>
      <c r="G307" s="48">
        <v>10712</v>
      </c>
      <c r="H307">
        <v>4312</v>
      </c>
      <c r="I307">
        <v>0</v>
      </c>
      <c r="J307">
        <v>99120804</v>
      </c>
    </row>
    <row r="308" spans="1:10">
      <c r="A308" s="48">
        <v>10713</v>
      </c>
      <c r="B308" s="48">
        <v>3</v>
      </c>
      <c r="C308" s="49" t="s">
        <v>2064</v>
      </c>
      <c r="D308" s="131" t="s">
        <v>2041</v>
      </c>
      <c r="E308" s="4">
        <v>20507</v>
      </c>
      <c r="F308" s="127" t="s">
        <v>2050</v>
      </c>
      <c r="G308" s="48">
        <v>10713</v>
      </c>
      <c r="H308">
        <v>4313</v>
      </c>
      <c r="I308" s="4">
        <v>0</v>
      </c>
      <c r="J308">
        <v>99120804</v>
      </c>
    </row>
    <row r="309" spans="1:10">
      <c r="A309" s="48">
        <v>10714</v>
      </c>
      <c r="B309" s="48">
        <v>3</v>
      </c>
      <c r="C309" s="49" t="s">
        <v>2065</v>
      </c>
      <c r="D309" s="131" t="s">
        <v>2042</v>
      </c>
      <c r="E309" s="4">
        <v>20507</v>
      </c>
      <c r="F309" s="127" t="s">
        <v>2050</v>
      </c>
      <c r="G309" s="48">
        <v>10714</v>
      </c>
      <c r="H309">
        <v>4314</v>
      </c>
      <c r="I309">
        <v>0</v>
      </c>
      <c r="J309">
        <v>99120804</v>
      </c>
    </row>
    <row r="310" spans="1:10">
      <c r="A310" s="48">
        <v>10715</v>
      </c>
      <c r="B310" s="48">
        <v>3</v>
      </c>
      <c r="C310" s="49" t="s">
        <v>2066</v>
      </c>
      <c r="D310" s="131" t="s">
        <v>2043</v>
      </c>
      <c r="E310" s="4">
        <v>20508</v>
      </c>
      <c r="F310" s="127" t="s">
        <v>2051</v>
      </c>
      <c r="G310" s="48">
        <v>10715</v>
      </c>
      <c r="H310">
        <v>4315</v>
      </c>
      <c r="I310" s="4">
        <v>0</v>
      </c>
      <c r="J310">
        <v>99120804</v>
      </c>
    </row>
    <row r="311" spans="1:10">
      <c r="A311" s="48">
        <v>10716</v>
      </c>
      <c r="B311" s="48">
        <v>3</v>
      </c>
      <c r="C311" s="49" t="s">
        <v>2067</v>
      </c>
      <c r="D311" s="131" t="s">
        <v>2044</v>
      </c>
      <c r="E311" s="4">
        <v>20508</v>
      </c>
      <c r="F311" s="127" t="s">
        <v>2051</v>
      </c>
      <c r="G311" s="48">
        <v>10716</v>
      </c>
      <c r="H311">
        <v>4316</v>
      </c>
      <c r="I311">
        <v>0</v>
      </c>
      <c r="J311">
        <v>99120804</v>
      </c>
    </row>
    <row r="312" spans="1:10">
      <c r="A312" s="48">
        <v>10801</v>
      </c>
      <c r="B312" s="48">
        <v>3</v>
      </c>
      <c r="C312" s="49" t="s">
        <v>2126</v>
      </c>
      <c r="D312" s="175" t="s">
        <v>2107</v>
      </c>
      <c r="E312" s="4">
        <v>20601</v>
      </c>
      <c r="F312" s="149" t="s">
        <v>2107</v>
      </c>
      <c r="G312" s="48">
        <v>10801</v>
      </c>
      <c r="H312" s="174">
        <v>6801</v>
      </c>
      <c r="I312" s="4">
        <v>0</v>
      </c>
      <c r="J312">
        <v>99050604</v>
      </c>
    </row>
    <row r="313" spans="1:10">
      <c r="A313" s="48">
        <v>10802</v>
      </c>
      <c r="B313" s="48">
        <v>3</v>
      </c>
      <c r="C313" s="49" t="s">
        <v>2127</v>
      </c>
      <c r="D313" s="176" t="s">
        <v>2108</v>
      </c>
      <c r="E313" s="4">
        <v>20601</v>
      </c>
      <c r="F313" s="149" t="s">
        <v>2107</v>
      </c>
      <c r="G313" s="48">
        <v>10802</v>
      </c>
      <c r="H313" s="174">
        <v>6802</v>
      </c>
      <c r="I313">
        <v>0</v>
      </c>
      <c r="J313">
        <v>99050604</v>
      </c>
    </row>
    <row r="314" spans="1:10">
      <c r="A314" s="48">
        <v>10803</v>
      </c>
      <c r="B314" s="48">
        <v>3</v>
      </c>
      <c r="C314" s="49" t="s">
        <v>2128</v>
      </c>
      <c r="D314" s="177" t="s">
        <v>2109</v>
      </c>
      <c r="E314" s="4">
        <v>20602</v>
      </c>
      <c r="F314" s="149" t="s">
        <v>2110</v>
      </c>
      <c r="G314" s="48">
        <v>10803</v>
      </c>
      <c r="H314" s="174">
        <v>6803</v>
      </c>
      <c r="I314" s="4">
        <v>0</v>
      </c>
      <c r="J314">
        <v>99050604</v>
      </c>
    </row>
    <row r="315" spans="1:10">
      <c r="A315" s="48">
        <v>10804</v>
      </c>
      <c r="B315" s="48">
        <v>3</v>
      </c>
      <c r="C315" s="49" t="s">
        <v>2129</v>
      </c>
      <c r="D315" s="176" t="s">
        <v>2110</v>
      </c>
      <c r="E315" s="4">
        <v>20602</v>
      </c>
      <c r="F315" s="149" t="s">
        <v>2110</v>
      </c>
      <c r="G315" s="48">
        <v>10804</v>
      </c>
      <c r="H315" s="149">
        <v>6804</v>
      </c>
      <c r="I315">
        <v>0</v>
      </c>
      <c r="J315">
        <v>99050604</v>
      </c>
    </row>
    <row r="316" spans="1:10">
      <c r="A316" s="48">
        <v>10805</v>
      </c>
      <c r="B316" s="48">
        <v>3</v>
      </c>
      <c r="C316" s="49" t="s">
        <v>2130</v>
      </c>
      <c r="D316" s="178" t="s">
        <v>2111</v>
      </c>
      <c r="E316" s="4">
        <v>20603</v>
      </c>
      <c r="F316" s="151" t="s">
        <v>2123</v>
      </c>
      <c r="G316" s="48">
        <v>10805</v>
      </c>
      <c r="H316" s="151">
        <v>6805</v>
      </c>
      <c r="I316" s="4">
        <v>0</v>
      </c>
      <c r="J316">
        <v>99050604</v>
      </c>
    </row>
    <row r="317" spans="1:10">
      <c r="A317" s="48">
        <v>10806</v>
      </c>
      <c r="B317" s="48">
        <v>3</v>
      </c>
      <c r="C317" s="49" t="s">
        <v>2131</v>
      </c>
      <c r="D317" s="151" t="s">
        <v>2112</v>
      </c>
      <c r="E317" s="4">
        <v>20603</v>
      </c>
      <c r="F317" s="151" t="s">
        <v>2123</v>
      </c>
      <c r="G317" s="48">
        <v>10806</v>
      </c>
      <c r="H317" s="151">
        <v>6806</v>
      </c>
      <c r="I317">
        <v>0</v>
      </c>
      <c r="J317">
        <v>99050604</v>
      </c>
    </row>
    <row r="318" spans="1:10">
      <c r="A318" s="48">
        <v>10807</v>
      </c>
      <c r="B318" s="48">
        <v>3</v>
      </c>
      <c r="C318" s="49" t="s">
        <v>2132</v>
      </c>
      <c r="D318" s="151" t="s">
        <v>2113</v>
      </c>
      <c r="E318" s="4">
        <v>20603</v>
      </c>
      <c r="F318" s="151" t="s">
        <v>2123</v>
      </c>
      <c r="G318" s="48">
        <v>10807</v>
      </c>
      <c r="H318" s="151">
        <v>6807</v>
      </c>
      <c r="I318" s="4">
        <v>0</v>
      </c>
      <c r="J318">
        <v>99050604</v>
      </c>
    </row>
    <row r="319" spans="1:10">
      <c r="A319" s="48">
        <v>10808</v>
      </c>
      <c r="B319" s="48">
        <v>3</v>
      </c>
      <c r="C319" s="49" t="s">
        <v>2133</v>
      </c>
      <c r="D319" s="150" t="s">
        <v>2114</v>
      </c>
      <c r="E319" s="4">
        <v>20604</v>
      </c>
      <c r="F319" s="151" t="s">
        <v>2124</v>
      </c>
      <c r="G319" s="48">
        <v>10808</v>
      </c>
      <c r="H319" s="151">
        <v>6808</v>
      </c>
      <c r="I319">
        <v>0</v>
      </c>
      <c r="J319">
        <v>99050604</v>
      </c>
    </row>
    <row r="320" spans="1:10">
      <c r="A320" s="48">
        <v>10809</v>
      </c>
      <c r="B320" s="48">
        <v>3</v>
      </c>
      <c r="C320" s="49" t="s">
        <v>2134</v>
      </c>
      <c r="D320" s="150" t="s">
        <v>2115</v>
      </c>
      <c r="E320" s="4">
        <v>20604</v>
      </c>
      <c r="F320" s="151" t="s">
        <v>2124</v>
      </c>
      <c r="G320" s="48">
        <v>10809</v>
      </c>
      <c r="H320" s="151">
        <v>6809</v>
      </c>
      <c r="I320" s="4">
        <v>0</v>
      </c>
      <c r="J320">
        <v>99050604</v>
      </c>
    </row>
    <row r="321" spans="1:10">
      <c r="A321" s="48">
        <v>10810</v>
      </c>
      <c r="B321" s="48">
        <v>3</v>
      </c>
      <c r="C321" s="49" t="s">
        <v>2135</v>
      </c>
      <c r="D321" s="150" t="s">
        <v>2116</v>
      </c>
      <c r="E321" s="4">
        <v>20604</v>
      </c>
      <c r="F321" s="151" t="s">
        <v>2124</v>
      </c>
      <c r="G321" s="48">
        <v>10810</v>
      </c>
      <c r="H321" s="151">
        <v>6810</v>
      </c>
      <c r="I321">
        <v>0</v>
      </c>
      <c r="J321">
        <v>99050604</v>
      </c>
    </row>
    <row r="322" spans="1:10">
      <c r="A322" s="48">
        <v>10811</v>
      </c>
      <c r="B322" s="48">
        <v>3</v>
      </c>
      <c r="C322" s="49" t="s">
        <v>2136</v>
      </c>
      <c r="D322" s="152" t="s">
        <v>2117</v>
      </c>
      <c r="E322" s="4">
        <v>20605</v>
      </c>
      <c r="F322" s="153" t="s">
        <v>2125</v>
      </c>
      <c r="G322" s="48">
        <v>10811</v>
      </c>
      <c r="H322" s="153">
        <v>6811</v>
      </c>
      <c r="I322" s="4">
        <v>0</v>
      </c>
      <c r="J322">
        <v>99050604</v>
      </c>
    </row>
    <row r="323" spans="1:10">
      <c r="A323" s="48">
        <v>10812</v>
      </c>
      <c r="B323" s="48">
        <v>3</v>
      </c>
      <c r="C323" s="49" t="s">
        <v>2137</v>
      </c>
      <c r="D323" s="152" t="s">
        <v>2118</v>
      </c>
      <c r="E323" s="4">
        <v>20605</v>
      </c>
      <c r="F323" s="153" t="s">
        <v>2125</v>
      </c>
      <c r="G323" s="48">
        <v>10812</v>
      </c>
      <c r="H323" s="153">
        <v>6812</v>
      </c>
      <c r="I323">
        <v>0</v>
      </c>
      <c r="J323">
        <v>99050604</v>
      </c>
    </row>
    <row r="324" spans="1:10">
      <c r="A324" s="48">
        <v>10813</v>
      </c>
      <c r="B324" s="48">
        <v>3</v>
      </c>
      <c r="C324" s="49" t="s">
        <v>2138</v>
      </c>
      <c r="D324" s="152" t="s">
        <v>2119</v>
      </c>
      <c r="E324" s="4">
        <v>20605</v>
      </c>
      <c r="F324" s="153" t="s">
        <v>2125</v>
      </c>
      <c r="G324" s="48">
        <v>10813</v>
      </c>
      <c r="H324" s="153">
        <v>6813</v>
      </c>
      <c r="I324" s="4">
        <v>0</v>
      </c>
      <c r="J324">
        <v>99050604</v>
      </c>
    </row>
    <row r="325" spans="1:10">
      <c r="A325" s="48">
        <v>10814</v>
      </c>
      <c r="B325" s="48">
        <v>3</v>
      </c>
      <c r="C325" s="49" t="s">
        <v>2139</v>
      </c>
      <c r="D325" s="154" t="s">
        <v>2120</v>
      </c>
      <c r="E325" s="4">
        <v>20606</v>
      </c>
      <c r="F325" s="155" t="s">
        <v>2122</v>
      </c>
      <c r="G325" s="48">
        <v>10814</v>
      </c>
      <c r="H325" s="155">
        <v>6814</v>
      </c>
      <c r="I325">
        <v>0</v>
      </c>
      <c r="J325">
        <v>99050604</v>
      </c>
    </row>
    <row r="326" spans="1:10">
      <c r="A326" s="48">
        <v>10815</v>
      </c>
      <c r="B326" s="48">
        <v>3</v>
      </c>
      <c r="C326" s="49" t="s">
        <v>2140</v>
      </c>
      <c r="D326" s="154" t="s">
        <v>2121</v>
      </c>
      <c r="E326" s="4">
        <v>20606</v>
      </c>
      <c r="F326" s="155" t="s">
        <v>2122</v>
      </c>
      <c r="G326" s="48">
        <v>10815</v>
      </c>
      <c r="H326" s="155">
        <v>6815</v>
      </c>
      <c r="I326" s="4">
        <v>0</v>
      </c>
      <c r="J326">
        <v>99050604</v>
      </c>
    </row>
    <row r="327" spans="1:10">
      <c r="A327" s="48">
        <v>10816</v>
      </c>
      <c r="B327" s="48">
        <v>3</v>
      </c>
      <c r="C327" s="49" t="s">
        <v>2141</v>
      </c>
      <c r="D327" s="154" t="s">
        <v>2122</v>
      </c>
      <c r="E327" s="4">
        <v>20606</v>
      </c>
      <c r="F327" s="155" t="s">
        <v>2122</v>
      </c>
      <c r="G327" s="48">
        <v>10816</v>
      </c>
      <c r="H327" s="155">
        <v>6816</v>
      </c>
      <c r="I327">
        <v>0</v>
      </c>
      <c r="J327">
        <v>99050604</v>
      </c>
    </row>
    <row r="328" spans="1:10">
      <c r="A328" s="48">
        <v>10901</v>
      </c>
      <c r="B328" s="48">
        <v>1</v>
      </c>
      <c r="C328" s="49" t="s">
        <v>2165</v>
      </c>
      <c r="D328" s="181" t="s">
        <v>2183</v>
      </c>
      <c r="E328" s="4">
        <v>20701</v>
      </c>
      <c r="F328" s="179" t="s">
        <v>2177</v>
      </c>
      <c r="G328" s="48">
        <v>10901</v>
      </c>
      <c r="H328" s="174">
        <v>6901</v>
      </c>
      <c r="I328" s="4">
        <v>0</v>
      </c>
      <c r="J328">
        <v>99060604</v>
      </c>
    </row>
    <row r="329" spans="1:10">
      <c r="A329" s="48">
        <v>10902</v>
      </c>
      <c r="B329" s="48">
        <v>1</v>
      </c>
      <c r="C329" s="49" t="s">
        <v>2166</v>
      </c>
      <c r="D329" s="181" t="s">
        <v>2184</v>
      </c>
      <c r="E329" s="4">
        <v>20701</v>
      </c>
      <c r="F329" s="179" t="s">
        <v>2177</v>
      </c>
      <c r="G329" s="48">
        <v>10902</v>
      </c>
      <c r="H329" s="174">
        <v>6902</v>
      </c>
      <c r="I329">
        <v>0</v>
      </c>
      <c r="J329">
        <v>99060604</v>
      </c>
    </row>
    <row r="330" spans="1:10">
      <c r="A330" s="48">
        <v>10903</v>
      </c>
      <c r="B330" s="48">
        <v>1</v>
      </c>
      <c r="C330" s="49" t="s">
        <v>2167</v>
      </c>
      <c r="D330" s="131" t="s">
        <v>2185</v>
      </c>
      <c r="E330" s="4">
        <v>20702</v>
      </c>
      <c r="F330" s="149" t="s">
        <v>2178</v>
      </c>
      <c r="G330" s="48">
        <v>10903</v>
      </c>
      <c r="H330" s="174">
        <v>6903</v>
      </c>
      <c r="I330" s="4">
        <v>0</v>
      </c>
      <c r="J330">
        <v>99060604</v>
      </c>
    </row>
    <row r="331" spans="1:10">
      <c r="A331" s="48">
        <v>10904</v>
      </c>
      <c r="B331" s="48">
        <v>1</v>
      </c>
      <c r="C331" s="49" t="s">
        <v>2168</v>
      </c>
      <c r="D331" s="131" t="s">
        <v>2186</v>
      </c>
      <c r="E331" s="4">
        <v>20702</v>
      </c>
      <c r="F331" s="149" t="s">
        <v>2178</v>
      </c>
      <c r="G331" s="48">
        <v>10904</v>
      </c>
      <c r="H331" s="149">
        <v>6904</v>
      </c>
      <c r="I331">
        <v>0</v>
      </c>
      <c r="J331">
        <v>99060604</v>
      </c>
    </row>
    <row r="332" spans="1:10">
      <c r="A332" s="48">
        <v>10905</v>
      </c>
      <c r="B332" s="48">
        <v>1</v>
      </c>
      <c r="C332" s="49" t="s">
        <v>2169</v>
      </c>
      <c r="D332" s="150" t="s">
        <v>2187</v>
      </c>
      <c r="E332" s="4">
        <v>20703</v>
      </c>
      <c r="F332" s="151" t="s">
        <v>2179</v>
      </c>
      <c r="G332" s="48">
        <v>10905</v>
      </c>
      <c r="H332" s="151">
        <v>6905</v>
      </c>
      <c r="I332" s="4">
        <v>0</v>
      </c>
      <c r="J332">
        <v>99060604</v>
      </c>
    </row>
    <row r="333" spans="1:10">
      <c r="A333" s="48">
        <v>10906</v>
      </c>
      <c r="B333" s="48">
        <v>1</v>
      </c>
      <c r="C333" s="49" t="s">
        <v>2170</v>
      </c>
      <c r="D333" s="150" t="s">
        <v>2188</v>
      </c>
      <c r="E333" s="4">
        <v>20703</v>
      </c>
      <c r="F333" s="151" t="s">
        <v>2179</v>
      </c>
      <c r="G333" s="48">
        <v>10906</v>
      </c>
      <c r="H333" s="151">
        <v>6906</v>
      </c>
      <c r="I333">
        <v>0</v>
      </c>
      <c r="J333">
        <v>99060604</v>
      </c>
    </row>
    <row r="334" spans="1:10">
      <c r="A334" s="48">
        <v>10907</v>
      </c>
      <c r="B334" s="48">
        <v>1</v>
      </c>
      <c r="C334" s="49" t="s">
        <v>2171</v>
      </c>
      <c r="D334" s="154" t="s">
        <v>2189</v>
      </c>
      <c r="E334" s="4">
        <v>20704</v>
      </c>
      <c r="F334" s="155" t="s">
        <v>2180</v>
      </c>
      <c r="G334" s="48">
        <v>10907</v>
      </c>
      <c r="H334" s="151">
        <v>6907</v>
      </c>
      <c r="I334" s="4">
        <v>0</v>
      </c>
      <c r="J334">
        <v>99060604</v>
      </c>
    </row>
    <row r="335" spans="1:10">
      <c r="A335" s="48">
        <v>10908</v>
      </c>
      <c r="B335" s="48">
        <v>1</v>
      </c>
      <c r="C335" s="49" t="s">
        <v>2172</v>
      </c>
      <c r="D335" s="154" t="s">
        <v>2190</v>
      </c>
      <c r="E335" s="4">
        <v>20704</v>
      </c>
      <c r="F335" s="155" t="s">
        <v>2180</v>
      </c>
      <c r="G335" s="48">
        <v>10908</v>
      </c>
      <c r="H335" s="151">
        <v>6908</v>
      </c>
      <c r="I335">
        <v>0</v>
      </c>
      <c r="J335">
        <v>99060604</v>
      </c>
    </row>
    <row r="336" spans="1:10">
      <c r="A336" s="48">
        <v>10909</v>
      </c>
      <c r="B336" s="48">
        <v>1</v>
      </c>
      <c r="C336" s="49" t="s">
        <v>2173</v>
      </c>
      <c r="D336" s="182" t="s">
        <v>2191</v>
      </c>
      <c r="E336" s="4">
        <v>20705</v>
      </c>
      <c r="F336" s="180" t="s">
        <v>2181</v>
      </c>
      <c r="G336" s="48">
        <v>10909</v>
      </c>
      <c r="H336" s="151">
        <v>6909</v>
      </c>
      <c r="I336" s="4">
        <v>0</v>
      </c>
      <c r="J336">
        <v>99060604</v>
      </c>
    </row>
    <row r="337" spans="1:10">
      <c r="A337" s="48">
        <v>10910</v>
      </c>
      <c r="B337" s="48">
        <v>1</v>
      </c>
      <c r="C337" s="49" t="s">
        <v>2174</v>
      </c>
      <c r="D337" s="182" t="s">
        <v>2192</v>
      </c>
      <c r="E337" s="4">
        <v>20705</v>
      </c>
      <c r="F337" s="180" t="s">
        <v>2181</v>
      </c>
      <c r="G337" s="48">
        <v>10910</v>
      </c>
      <c r="H337" s="151">
        <v>6910</v>
      </c>
      <c r="I337">
        <v>0</v>
      </c>
      <c r="J337">
        <v>99060604</v>
      </c>
    </row>
    <row r="338" spans="1:10">
      <c r="A338" s="48">
        <v>10911</v>
      </c>
      <c r="B338" s="48">
        <v>1</v>
      </c>
      <c r="C338" s="49" t="s">
        <v>2175</v>
      </c>
      <c r="D338" s="152" t="s">
        <v>2193</v>
      </c>
      <c r="E338" s="4">
        <v>20706</v>
      </c>
      <c r="F338" s="153" t="s">
        <v>2182</v>
      </c>
      <c r="G338" s="48">
        <v>10911</v>
      </c>
      <c r="H338" s="153">
        <v>6911</v>
      </c>
      <c r="I338" s="4">
        <v>0</v>
      </c>
      <c r="J338">
        <v>99060604</v>
      </c>
    </row>
    <row r="339" spans="1:10">
      <c r="A339" s="48">
        <v>10912</v>
      </c>
      <c r="B339" s="48">
        <v>1</v>
      </c>
      <c r="C339" s="49" t="s">
        <v>2176</v>
      </c>
      <c r="D339" s="183" t="s">
        <v>2194</v>
      </c>
      <c r="E339" s="4">
        <v>20706</v>
      </c>
      <c r="F339" s="153" t="s">
        <v>2182</v>
      </c>
      <c r="G339" s="48">
        <v>10912</v>
      </c>
      <c r="H339" s="153">
        <v>6912</v>
      </c>
      <c r="I339">
        <v>0</v>
      </c>
      <c r="J339">
        <v>99060604</v>
      </c>
    </row>
    <row r="340" spans="1:10">
      <c r="A340" s="48">
        <v>11001</v>
      </c>
      <c r="B340" s="48">
        <v>1</v>
      </c>
      <c r="C340" s="49" t="s">
        <v>2218</v>
      </c>
      <c r="D340" s="131" t="s">
        <v>2230</v>
      </c>
      <c r="E340" s="4">
        <v>20801</v>
      </c>
      <c r="F340" s="156" t="s">
        <v>2242</v>
      </c>
      <c r="G340" s="48">
        <v>11001</v>
      </c>
      <c r="H340" s="174">
        <v>7201</v>
      </c>
      <c r="I340" s="4">
        <v>0</v>
      </c>
      <c r="J340" s="196">
        <v>99070604</v>
      </c>
    </row>
    <row r="341" spans="1:10">
      <c r="A341" s="48">
        <v>11002</v>
      </c>
      <c r="B341" s="48">
        <v>1</v>
      </c>
      <c r="C341" s="49" t="s">
        <v>2219</v>
      </c>
      <c r="D341" s="186" t="s">
        <v>2231</v>
      </c>
      <c r="E341" s="4">
        <v>20801</v>
      </c>
      <c r="F341" s="191" t="s">
        <v>2242</v>
      </c>
      <c r="G341" s="48">
        <v>11002</v>
      </c>
      <c r="H341" s="174">
        <v>7202</v>
      </c>
      <c r="I341">
        <v>0</v>
      </c>
      <c r="J341" s="196">
        <v>99070604</v>
      </c>
    </row>
    <row r="342" spans="1:10">
      <c r="A342" s="48">
        <v>11003</v>
      </c>
      <c r="B342" s="48">
        <v>1</v>
      </c>
      <c r="C342" s="49" t="s">
        <v>2220</v>
      </c>
      <c r="D342" s="187" t="s">
        <v>2232</v>
      </c>
      <c r="E342" s="4">
        <v>20802</v>
      </c>
      <c r="F342" s="192" t="s">
        <v>2243</v>
      </c>
      <c r="G342" s="48">
        <v>11003</v>
      </c>
      <c r="H342" s="174">
        <v>7203</v>
      </c>
      <c r="I342" s="4">
        <v>0</v>
      </c>
      <c r="J342" s="196">
        <v>99070604</v>
      </c>
    </row>
    <row r="343" spans="1:10">
      <c r="A343" s="48">
        <v>11004</v>
      </c>
      <c r="B343" s="48">
        <v>1</v>
      </c>
      <c r="C343" s="49" t="s">
        <v>2221</v>
      </c>
      <c r="D343" s="187" t="s">
        <v>2233</v>
      </c>
      <c r="E343" s="4">
        <v>20802</v>
      </c>
      <c r="F343" s="192" t="s">
        <v>2243</v>
      </c>
      <c r="G343" s="48">
        <v>11004</v>
      </c>
      <c r="H343" s="149">
        <v>7204</v>
      </c>
      <c r="I343">
        <v>0</v>
      </c>
      <c r="J343" s="196">
        <v>99070604</v>
      </c>
    </row>
    <row r="344" spans="1:10">
      <c r="A344" s="48">
        <v>11005</v>
      </c>
      <c r="B344" s="48">
        <v>1</v>
      </c>
      <c r="C344" s="49" t="s">
        <v>2222</v>
      </c>
      <c r="D344" s="188" t="s">
        <v>2234</v>
      </c>
      <c r="E344" s="4">
        <v>20803</v>
      </c>
      <c r="F344" s="193" t="s">
        <v>2244</v>
      </c>
      <c r="G344" s="48">
        <v>11005</v>
      </c>
      <c r="H344" s="151">
        <v>7205</v>
      </c>
      <c r="I344" s="4">
        <v>0</v>
      </c>
      <c r="J344" s="196">
        <v>99070604</v>
      </c>
    </row>
    <row r="345" spans="1:10">
      <c r="A345" s="48">
        <v>11006</v>
      </c>
      <c r="B345" s="48">
        <v>1</v>
      </c>
      <c r="C345" s="49" t="s">
        <v>2223</v>
      </c>
      <c r="D345" s="188" t="s">
        <v>2235</v>
      </c>
      <c r="E345" s="4">
        <v>20803</v>
      </c>
      <c r="F345" s="193" t="s">
        <v>2244</v>
      </c>
      <c r="G345" s="48">
        <v>11006</v>
      </c>
      <c r="H345" s="151">
        <v>7206</v>
      </c>
      <c r="I345">
        <v>0</v>
      </c>
      <c r="J345" s="196">
        <v>99070604</v>
      </c>
    </row>
    <row r="346" spans="1:10">
      <c r="A346" s="48">
        <v>11007</v>
      </c>
      <c r="B346" s="48">
        <v>1</v>
      </c>
      <c r="C346" s="49" t="s">
        <v>2224</v>
      </c>
      <c r="D346" s="189" t="s">
        <v>2236</v>
      </c>
      <c r="E346" s="4">
        <v>20804</v>
      </c>
      <c r="F346" s="194" t="s">
        <v>2245</v>
      </c>
      <c r="G346" s="48">
        <v>11007</v>
      </c>
      <c r="H346" s="151">
        <v>7207</v>
      </c>
      <c r="I346" s="4">
        <v>0</v>
      </c>
      <c r="J346" s="196">
        <v>99070604</v>
      </c>
    </row>
    <row r="347" spans="1:10">
      <c r="A347" s="48">
        <v>11008</v>
      </c>
      <c r="B347" s="48">
        <v>1</v>
      </c>
      <c r="C347" s="49" t="s">
        <v>2225</v>
      </c>
      <c r="D347" s="189" t="s">
        <v>2237</v>
      </c>
      <c r="E347" s="4">
        <v>20804</v>
      </c>
      <c r="F347" s="194" t="s">
        <v>2245</v>
      </c>
      <c r="G347" s="48">
        <v>11008</v>
      </c>
      <c r="H347" s="151">
        <v>7208</v>
      </c>
      <c r="I347">
        <v>0</v>
      </c>
      <c r="J347" s="196">
        <v>99070604</v>
      </c>
    </row>
    <row r="348" spans="1:10">
      <c r="A348" s="48">
        <v>11009</v>
      </c>
      <c r="B348" s="48">
        <v>1</v>
      </c>
      <c r="C348" s="49" t="s">
        <v>2226</v>
      </c>
      <c r="D348" s="190" t="s">
        <v>2238</v>
      </c>
      <c r="E348" s="4">
        <v>20805</v>
      </c>
      <c r="F348" s="195" t="s">
        <v>2246</v>
      </c>
      <c r="G348" s="48">
        <v>11009</v>
      </c>
      <c r="H348" s="151">
        <v>7209</v>
      </c>
      <c r="I348" s="4">
        <v>0</v>
      </c>
      <c r="J348" s="196">
        <v>99070604</v>
      </c>
    </row>
    <row r="349" spans="1:10">
      <c r="A349" s="48">
        <v>11010</v>
      </c>
      <c r="B349" s="48">
        <v>1</v>
      </c>
      <c r="C349" s="49" t="s">
        <v>2227</v>
      </c>
      <c r="D349" s="190" t="s">
        <v>2239</v>
      </c>
      <c r="E349" s="4">
        <v>20805</v>
      </c>
      <c r="F349" s="195" t="s">
        <v>2246</v>
      </c>
      <c r="G349" s="48">
        <v>11010</v>
      </c>
      <c r="H349" s="151">
        <v>7210</v>
      </c>
      <c r="I349">
        <v>0</v>
      </c>
      <c r="J349" s="196">
        <v>99070604</v>
      </c>
    </row>
    <row r="350" spans="1:10">
      <c r="A350" s="48">
        <v>11011</v>
      </c>
      <c r="B350" s="48">
        <v>1</v>
      </c>
      <c r="C350" s="49" t="s">
        <v>2228</v>
      </c>
      <c r="D350" s="187" t="s">
        <v>2240</v>
      </c>
      <c r="E350" s="4">
        <v>20806</v>
      </c>
      <c r="F350" s="192" t="s">
        <v>2247</v>
      </c>
      <c r="G350" s="48">
        <v>11011</v>
      </c>
      <c r="H350" s="153">
        <v>7211</v>
      </c>
      <c r="I350" s="4">
        <v>0</v>
      </c>
      <c r="J350" s="196">
        <v>99070604</v>
      </c>
    </row>
    <row r="351" spans="1:10">
      <c r="A351" s="48">
        <v>11012</v>
      </c>
      <c r="B351" s="48">
        <v>1</v>
      </c>
      <c r="C351" s="49" t="s">
        <v>2229</v>
      </c>
      <c r="D351" s="187" t="s">
        <v>2241</v>
      </c>
      <c r="E351" s="4">
        <v>20806</v>
      </c>
      <c r="F351" s="192" t="s">
        <v>2247</v>
      </c>
      <c r="G351" s="48">
        <v>11012</v>
      </c>
      <c r="H351" s="153">
        <v>7212</v>
      </c>
      <c r="I351">
        <v>0</v>
      </c>
      <c r="J351" s="196">
        <v>99070604</v>
      </c>
    </row>
    <row r="352" spans="1:10">
      <c r="A352" s="48">
        <v>11101</v>
      </c>
      <c r="B352" s="48">
        <v>1</v>
      </c>
      <c r="C352" s="49" t="s">
        <v>2274</v>
      </c>
      <c r="D352" s="203" t="s">
        <v>2292</v>
      </c>
      <c r="E352" s="4">
        <v>20901</v>
      </c>
      <c r="F352" s="197" t="s">
        <v>2286</v>
      </c>
      <c r="G352" s="48">
        <v>11101</v>
      </c>
      <c r="H352" s="174">
        <v>7301</v>
      </c>
      <c r="I352" s="4">
        <v>0</v>
      </c>
      <c r="J352" s="196">
        <v>99080604</v>
      </c>
    </row>
    <row r="353" spans="1:10">
      <c r="A353" s="48">
        <v>11102</v>
      </c>
      <c r="B353" s="48">
        <v>1</v>
      </c>
      <c r="C353" s="49" t="s">
        <v>2275</v>
      </c>
      <c r="D353" s="204" t="s">
        <v>2293</v>
      </c>
      <c r="E353" s="4">
        <v>20901</v>
      </c>
      <c r="F353" s="198" t="s">
        <v>2286</v>
      </c>
      <c r="G353" s="48">
        <v>11102</v>
      </c>
      <c r="H353" s="174">
        <v>7302</v>
      </c>
      <c r="I353">
        <v>0</v>
      </c>
      <c r="J353" s="196">
        <v>99080604</v>
      </c>
    </row>
    <row r="354" spans="1:10">
      <c r="A354" s="48">
        <v>11103</v>
      </c>
      <c r="B354" s="48">
        <v>1</v>
      </c>
      <c r="C354" s="49" t="s">
        <v>2276</v>
      </c>
      <c r="D354" s="176" t="s">
        <v>2294</v>
      </c>
      <c r="E354" s="4">
        <v>20902</v>
      </c>
      <c r="F354" s="177" t="s">
        <v>2287</v>
      </c>
      <c r="G354" s="48">
        <v>11103</v>
      </c>
      <c r="H354" s="174">
        <v>7303</v>
      </c>
      <c r="I354" s="4">
        <v>0</v>
      </c>
      <c r="J354" s="196">
        <v>99080604</v>
      </c>
    </row>
    <row r="355" spans="1:10">
      <c r="A355" s="48">
        <v>11104</v>
      </c>
      <c r="B355" s="48">
        <v>1</v>
      </c>
      <c r="C355" s="49" t="s">
        <v>2277</v>
      </c>
      <c r="D355" s="176" t="s">
        <v>2295</v>
      </c>
      <c r="E355" s="4">
        <v>20902</v>
      </c>
      <c r="F355" s="177" t="s">
        <v>2287</v>
      </c>
      <c r="G355" s="48">
        <v>11104</v>
      </c>
      <c r="H355" s="149">
        <v>7304</v>
      </c>
      <c r="I355">
        <v>0</v>
      </c>
      <c r="J355" s="196">
        <v>99080604</v>
      </c>
    </row>
    <row r="356" spans="1:10">
      <c r="A356" s="48">
        <v>11105</v>
      </c>
      <c r="B356" s="48">
        <v>1</v>
      </c>
      <c r="C356" s="49" t="s">
        <v>2278</v>
      </c>
      <c r="D356" s="178" t="s">
        <v>2296</v>
      </c>
      <c r="E356" s="4">
        <v>20903</v>
      </c>
      <c r="F356" s="199" t="s">
        <v>2288</v>
      </c>
      <c r="G356" s="48">
        <v>11105</v>
      </c>
      <c r="H356" s="151">
        <v>7305</v>
      </c>
      <c r="I356" s="4">
        <v>0</v>
      </c>
      <c r="J356" s="196">
        <v>99080604</v>
      </c>
    </row>
    <row r="357" spans="1:10">
      <c r="A357" s="48">
        <v>11106</v>
      </c>
      <c r="B357" s="48">
        <v>1</v>
      </c>
      <c r="C357" s="49" t="s">
        <v>2279</v>
      </c>
      <c r="D357" s="178" t="s">
        <v>2297</v>
      </c>
      <c r="E357" s="4">
        <v>20903</v>
      </c>
      <c r="F357" s="199" t="s">
        <v>2288</v>
      </c>
      <c r="G357" s="48">
        <v>11106</v>
      </c>
      <c r="H357" s="151">
        <v>7306</v>
      </c>
      <c r="I357">
        <v>0</v>
      </c>
      <c r="J357" s="196">
        <v>99080604</v>
      </c>
    </row>
    <row r="358" spans="1:10">
      <c r="A358" s="48">
        <v>11107</v>
      </c>
      <c r="B358" s="48">
        <v>1</v>
      </c>
      <c r="C358" s="49" t="s">
        <v>2280</v>
      </c>
      <c r="D358" s="205" t="s">
        <v>2298</v>
      </c>
      <c r="E358" s="4">
        <v>20904</v>
      </c>
      <c r="F358" s="200" t="s">
        <v>2289</v>
      </c>
      <c r="G358" s="48">
        <v>11107</v>
      </c>
      <c r="H358" s="151">
        <v>7307</v>
      </c>
      <c r="I358" s="4">
        <v>0</v>
      </c>
      <c r="J358" s="196">
        <v>99080604</v>
      </c>
    </row>
    <row r="359" spans="1:10">
      <c r="A359" s="48">
        <v>11108</v>
      </c>
      <c r="B359" s="48">
        <v>1</v>
      </c>
      <c r="C359" s="49" t="s">
        <v>2281</v>
      </c>
      <c r="D359" s="205" t="s">
        <v>2299</v>
      </c>
      <c r="E359" s="4">
        <v>20904</v>
      </c>
      <c r="F359" s="200" t="s">
        <v>2289</v>
      </c>
      <c r="G359" s="48">
        <v>11108</v>
      </c>
      <c r="H359" s="151">
        <v>7308</v>
      </c>
      <c r="I359">
        <v>0</v>
      </c>
      <c r="J359" s="196">
        <v>99080604</v>
      </c>
    </row>
    <row r="360" spans="1:10">
      <c r="A360" s="48">
        <v>11109</v>
      </c>
      <c r="B360" s="48">
        <v>1</v>
      </c>
      <c r="C360" s="49" t="s">
        <v>2282</v>
      </c>
      <c r="D360" s="206" t="s">
        <v>2300</v>
      </c>
      <c r="E360" s="4">
        <v>20905</v>
      </c>
      <c r="F360" s="201" t="s">
        <v>2290</v>
      </c>
      <c r="G360" s="48">
        <v>11109</v>
      </c>
      <c r="H360" s="151">
        <v>7309</v>
      </c>
      <c r="I360" s="4">
        <v>0</v>
      </c>
      <c r="J360" s="196">
        <v>99080604</v>
      </c>
    </row>
    <row r="361" spans="1:10">
      <c r="A361" s="48">
        <v>11110</v>
      </c>
      <c r="B361" s="48">
        <v>1</v>
      </c>
      <c r="C361" s="49" t="s">
        <v>2283</v>
      </c>
      <c r="D361" s="206" t="s">
        <v>2301</v>
      </c>
      <c r="E361" s="4">
        <v>20905</v>
      </c>
      <c r="F361" s="201" t="s">
        <v>2290</v>
      </c>
      <c r="G361" s="48">
        <v>11110</v>
      </c>
      <c r="H361" s="151">
        <v>7310</v>
      </c>
      <c r="I361">
        <v>0</v>
      </c>
      <c r="J361" s="196">
        <v>99080604</v>
      </c>
    </row>
    <row r="362" spans="1:10">
      <c r="A362" s="48">
        <v>11111</v>
      </c>
      <c r="B362" s="48">
        <v>1</v>
      </c>
      <c r="C362" s="49" t="s">
        <v>2284</v>
      </c>
      <c r="D362" s="207" t="s">
        <v>2302</v>
      </c>
      <c r="E362" s="4">
        <v>20906</v>
      </c>
      <c r="F362" s="202" t="s">
        <v>2291</v>
      </c>
      <c r="G362" s="48">
        <v>11111</v>
      </c>
      <c r="H362" s="153">
        <v>7311</v>
      </c>
      <c r="I362" s="4">
        <v>0</v>
      </c>
      <c r="J362" s="196">
        <v>99080604</v>
      </c>
    </row>
    <row r="363" spans="1:10">
      <c r="A363" s="48">
        <v>11112</v>
      </c>
      <c r="B363" s="48">
        <v>1</v>
      </c>
      <c r="C363" s="49" t="s">
        <v>2285</v>
      </c>
      <c r="D363" s="208" t="s">
        <v>2303</v>
      </c>
      <c r="E363" s="4">
        <v>20906</v>
      </c>
      <c r="F363" s="202" t="s">
        <v>2291</v>
      </c>
      <c r="G363" s="48">
        <v>11112</v>
      </c>
      <c r="H363" s="153">
        <v>7312</v>
      </c>
      <c r="I363">
        <v>0</v>
      </c>
      <c r="J363" s="196">
        <v>99080604</v>
      </c>
    </row>
    <row r="364" spans="1:10">
      <c r="A364" s="48">
        <v>11201</v>
      </c>
      <c r="B364" s="48">
        <v>1</v>
      </c>
      <c r="C364" s="49" t="s">
        <v>2326</v>
      </c>
      <c r="D364" s="203" t="s">
        <v>2327</v>
      </c>
      <c r="E364" s="4">
        <v>21001</v>
      </c>
      <c r="F364" s="197" t="s">
        <v>2328</v>
      </c>
      <c r="G364" s="48">
        <v>11201</v>
      </c>
      <c r="H364" s="174">
        <v>7101</v>
      </c>
      <c r="I364" s="4">
        <v>0</v>
      </c>
      <c r="J364" s="196">
        <v>99090604</v>
      </c>
    </row>
    <row r="365" spans="1:10">
      <c r="A365" s="48">
        <v>11202</v>
      </c>
      <c r="B365" s="48">
        <v>1</v>
      </c>
      <c r="C365" s="49" t="s">
        <v>2329</v>
      </c>
      <c r="D365" s="204" t="s">
        <v>2330</v>
      </c>
      <c r="E365" s="4">
        <v>21001</v>
      </c>
      <c r="F365" s="198" t="s">
        <v>2328</v>
      </c>
      <c r="G365" s="48">
        <v>11202</v>
      </c>
      <c r="H365" s="174">
        <v>7102</v>
      </c>
      <c r="I365">
        <v>0</v>
      </c>
      <c r="J365" s="196">
        <v>99090604</v>
      </c>
    </row>
    <row r="366" spans="1:10">
      <c r="A366" s="48">
        <v>11203</v>
      </c>
      <c r="B366" s="48">
        <v>1</v>
      </c>
      <c r="C366" s="49" t="s">
        <v>2331</v>
      </c>
      <c r="D366" s="176" t="s">
        <v>2332</v>
      </c>
      <c r="E366" s="4">
        <v>21002</v>
      </c>
      <c r="F366" s="177" t="s">
        <v>2333</v>
      </c>
      <c r="G366" s="48">
        <v>11203</v>
      </c>
      <c r="H366" s="174">
        <v>7103</v>
      </c>
      <c r="I366" s="4">
        <v>0</v>
      </c>
      <c r="J366" s="196">
        <v>99090604</v>
      </c>
    </row>
    <row r="367" spans="1:10">
      <c r="A367" s="48">
        <v>11204</v>
      </c>
      <c r="B367" s="48">
        <v>1</v>
      </c>
      <c r="C367" s="49" t="s">
        <v>2334</v>
      </c>
      <c r="D367" s="176" t="s">
        <v>2335</v>
      </c>
      <c r="E367" s="4">
        <v>21002</v>
      </c>
      <c r="F367" s="177" t="s">
        <v>2333</v>
      </c>
      <c r="G367" s="48">
        <v>11204</v>
      </c>
      <c r="H367" s="149">
        <v>7104</v>
      </c>
      <c r="I367">
        <v>0</v>
      </c>
      <c r="J367" s="196">
        <v>99090604</v>
      </c>
    </row>
    <row r="368" spans="1:10">
      <c r="A368" s="48">
        <v>11205</v>
      </c>
      <c r="B368" s="48">
        <v>1</v>
      </c>
      <c r="C368" s="49" t="s">
        <v>2336</v>
      </c>
      <c r="D368" s="178" t="s">
        <v>2337</v>
      </c>
      <c r="E368" s="4">
        <v>21003</v>
      </c>
      <c r="F368" s="199" t="s">
        <v>2338</v>
      </c>
      <c r="G368" s="48">
        <v>11205</v>
      </c>
      <c r="H368" s="151">
        <v>7105</v>
      </c>
      <c r="I368" s="4">
        <v>0</v>
      </c>
      <c r="J368" s="196">
        <v>99090604</v>
      </c>
    </row>
    <row r="369" spans="1:10">
      <c r="A369" s="48">
        <v>11206</v>
      </c>
      <c r="B369" s="48">
        <v>1</v>
      </c>
      <c r="C369" s="49" t="s">
        <v>2339</v>
      </c>
      <c r="D369" s="178" t="s">
        <v>2340</v>
      </c>
      <c r="E369" s="4">
        <v>21003</v>
      </c>
      <c r="F369" s="199" t="s">
        <v>2338</v>
      </c>
      <c r="G369" s="48">
        <v>11206</v>
      </c>
      <c r="H369" s="151">
        <v>7106</v>
      </c>
      <c r="I369">
        <v>0</v>
      </c>
      <c r="J369" s="196">
        <v>99090604</v>
      </c>
    </row>
    <row r="370" spans="1:10">
      <c r="A370" s="48">
        <v>11207</v>
      </c>
      <c r="B370" s="48">
        <v>1</v>
      </c>
      <c r="C370" s="49" t="s">
        <v>2341</v>
      </c>
      <c r="D370" s="205" t="s">
        <v>2342</v>
      </c>
      <c r="E370" s="4">
        <v>21004</v>
      </c>
      <c r="F370" s="200" t="s">
        <v>2343</v>
      </c>
      <c r="G370" s="48">
        <v>11207</v>
      </c>
      <c r="H370" s="151">
        <v>7107</v>
      </c>
      <c r="I370" s="4">
        <v>0</v>
      </c>
      <c r="J370" s="196">
        <v>99090604</v>
      </c>
    </row>
    <row r="371" spans="1:10">
      <c r="A371" s="48">
        <v>11208</v>
      </c>
      <c r="B371" s="48">
        <v>1</v>
      </c>
      <c r="C371" s="49" t="s">
        <v>2344</v>
      </c>
      <c r="D371" s="205" t="s">
        <v>2345</v>
      </c>
      <c r="E371" s="4">
        <v>21004</v>
      </c>
      <c r="F371" s="200" t="s">
        <v>2343</v>
      </c>
      <c r="G371" s="48">
        <v>11208</v>
      </c>
      <c r="H371" s="151">
        <v>7108</v>
      </c>
      <c r="I371">
        <v>0</v>
      </c>
      <c r="J371" s="196">
        <v>99090604</v>
      </c>
    </row>
    <row r="372" spans="1:10">
      <c r="A372" s="48">
        <v>11209</v>
      </c>
      <c r="B372" s="48">
        <v>1</v>
      </c>
      <c r="C372" s="49" t="s">
        <v>2346</v>
      </c>
      <c r="D372" s="206" t="s">
        <v>2347</v>
      </c>
      <c r="E372" s="4">
        <v>21005</v>
      </c>
      <c r="F372" s="201" t="s">
        <v>2348</v>
      </c>
      <c r="G372" s="48">
        <v>11209</v>
      </c>
      <c r="H372" s="151">
        <v>7109</v>
      </c>
      <c r="I372" s="4">
        <v>0</v>
      </c>
      <c r="J372" s="196">
        <v>99090604</v>
      </c>
    </row>
    <row r="373" spans="1:10">
      <c r="A373" s="48">
        <v>11210</v>
      </c>
      <c r="B373" s="48">
        <v>1</v>
      </c>
      <c r="C373" s="49" t="s">
        <v>2349</v>
      </c>
      <c r="D373" s="206" t="s">
        <v>2350</v>
      </c>
      <c r="E373" s="4">
        <v>21005</v>
      </c>
      <c r="F373" s="201" t="s">
        <v>2348</v>
      </c>
      <c r="G373" s="48">
        <v>11210</v>
      </c>
      <c r="H373" s="151">
        <v>7110</v>
      </c>
      <c r="I373">
        <v>0</v>
      </c>
      <c r="J373" s="196">
        <v>99090604</v>
      </c>
    </row>
    <row r="374" spans="1:10">
      <c r="A374" s="48">
        <v>11211</v>
      </c>
      <c r="B374" s="48">
        <v>1</v>
      </c>
      <c r="C374" s="49" t="s">
        <v>2351</v>
      </c>
      <c r="D374" s="207" t="s">
        <v>2352</v>
      </c>
      <c r="E374" s="4">
        <v>21006</v>
      </c>
      <c r="F374" s="202" t="s">
        <v>2310</v>
      </c>
      <c r="G374" s="48">
        <v>11211</v>
      </c>
      <c r="H374" s="153">
        <v>7111</v>
      </c>
      <c r="I374" s="4">
        <v>0</v>
      </c>
      <c r="J374" s="196">
        <v>99090604</v>
      </c>
    </row>
    <row r="375" spans="1:10">
      <c r="A375" s="48">
        <v>11212</v>
      </c>
      <c r="B375" s="48">
        <v>1</v>
      </c>
      <c r="C375" s="49" t="s">
        <v>2353</v>
      </c>
      <c r="D375" s="208" t="s">
        <v>2354</v>
      </c>
      <c r="E375" s="4">
        <v>21006</v>
      </c>
      <c r="F375" s="202" t="s">
        <v>2355</v>
      </c>
      <c r="G375" s="48">
        <v>11212</v>
      </c>
      <c r="H375" s="153">
        <v>7112</v>
      </c>
      <c r="I375">
        <v>0</v>
      </c>
      <c r="J375" s="196">
        <v>99090604</v>
      </c>
    </row>
    <row r="376" spans="1:10">
      <c r="A376" s="48">
        <v>11301</v>
      </c>
      <c r="B376" s="48">
        <v>1</v>
      </c>
      <c r="C376" s="49" t="s">
        <v>2373</v>
      </c>
      <c r="D376" s="203" t="s">
        <v>2374</v>
      </c>
      <c r="E376" s="4">
        <v>21101</v>
      </c>
      <c r="F376" s="197" t="s">
        <v>2375</v>
      </c>
      <c r="G376" s="48">
        <v>11301</v>
      </c>
      <c r="H376" s="174">
        <v>7401</v>
      </c>
      <c r="I376" s="4">
        <v>0</v>
      </c>
      <c r="J376" s="196">
        <v>99100604</v>
      </c>
    </row>
    <row r="377" spans="1:10">
      <c r="A377" s="48">
        <v>11302</v>
      </c>
      <c r="B377" s="48">
        <v>1</v>
      </c>
      <c r="C377" s="49" t="s">
        <v>2376</v>
      </c>
      <c r="D377" s="204" t="s">
        <v>2377</v>
      </c>
      <c r="E377" s="4">
        <v>21101</v>
      </c>
      <c r="F377" s="197" t="s">
        <v>2375</v>
      </c>
      <c r="G377" s="48">
        <v>11302</v>
      </c>
      <c r="H377" s="174">
        <v>7402</v>
      </c>
      <c r="I377">
        <v>0</v>
      </c>
      <c r="J377" s="196">
        <v>99100604</v>
      </c>
    </row>
    <row r="378" spans="1:10">
      <c r="A378" s="48">
        <v>11303</v>
      </c>
      <c r="B378" s="48">
        <v>1</v>
      </c>
      <c r="C378" s="49" t="s">
        <v>2378</v>
      </c>
      <c r="D378" s="176" t="s">
        <v>2379</v>
      </c>
      <c r="E378" s="4">
        <v>21102</v>
      </c>
      <c r="F378" s="177" t="s">
        <v>2380</v>
      </c>
      <c r="G378" s="48">
        <v>11303</v>
      </c>
      <c r="H378" s="174">
        <v>7403</v>
      </c>
      <c r="I378" s="4">
        <v>0</v>
      </c>
      <c r="J378" s="196">
        <v>99100604</v>
      </c>
    </row>
    <row r="379" spans="1:10">
      <c r="A379" s="48">
        <v>11304</v>
      </c>
      <c r="B379" s="48">
        <v>1</v>
      </c>
      <c r="C379" s="49" t="s">
        <v>2381</v>
      </c>
      <c r="D379" s="176" t="s">
        <v>2382</v>
      </c>
      <c r="E379" s="4">
        <v>21102</v>
      </c>
      <c r="F379" s="177" t="s">
        <v>2380</v>
      </c>
      <c r="G379" s="48">
        <v>11304</v>
      </c>
      <c r="H379" s="149">
        <v>7404</v>
      </c>
      <c r="I379">
        <v>0</v>
      </c>
      <c r="J379" s="196">
        <v>99100604</v>
      </c>
    </row>
    <row r="380" spans="1:10">
      <c r="A380" s="48">
        <v>11305</v>
      </c>
      <c r="B380" s="48">
        <v>1</v>
      </c>
      <c r="C380" s="49" t="s">
        <v>2383</v>
      </c>
      <c r="D380" s="178" t="s">
        <v>2384</v>
      </c>
      <c r="E380" s="4">
        <v>21103</v>
      </c>
      <c r="F380" s="199" t="s">
        <v>2385</v>
      </c>
      <c r="G380" s="48">
        <v>11305</v>
      </c>
      <c r="H380" s="151">
        <v>7405</v>
      </c>
      <c r="I380" s="4">
        <v>0</v>
      </c>
      <c r="J380" s="196">
        <v>99100604</v>
      </c>
    </row>
    <row r="381" spans="1:10">
      <c r="A381" s="48">
        <v>11306</v>
      </c>
      <c r="B381" s="48">
        <v>1</v>
      </c>
      <c r="C381" s="49" t="s">
        <v>2386</v>
      </c>
      <c r="D381" s="178" t="s">
        <v>2387</v>
      </c>
      <c r="E381" s="4">
        <v>21103</v>
      </c>
      <c r="F381" s="199" t="s">
        <v>2385</v>
      </c>
      <c r="G381" s="48">
        <v>11306</v>
      </c>
      <c r="H381" s="151">
        <v>7406</v>
      </c>
      <c r="I381">
        <v>0</v>
      </c>
      <c r="J381" s="196">
        <v>99100604</v>
      </c>
    </row>
    <row r="382" spans="1:10">
      <c r="A382" s="48">
        <v>11307</v>
      </c>
      <c r="B382" s="48">
        <v>1</v>
      </c>
      <c r="C382" s="49" t="s">
        <v>2388</v>
      </c>
      <c r="D382" s="205" t="s">
        <v>2389</v>
      </c>
      <c r="E382" s="4">
        <v>21104</v>
      </c>
      <c r="F382" s="200" t="s">
        <v>2390</v>
      </c>
      <c r="G382" s="48">
        <v>11307</v>
      </c>
      <c r="H382" s="151">
        <v>7407</v>
      </c>
      <c r="I382" s="4">
        <v>0</v>
      </c>
      <c r="J382" s="196">
        <v>99100604</v>
      </c>
    </row>
    <row r="383" spans="1:10">
      <c r="A383" s="48">
        <v>11308</v>
      </c>
      <c r="B383" s="48">
        <v>1</v>
      </c>
      <c r="C383" s="49" t="s">
        <v>2391</v>
      </c>
      <c r="D383" s="205" t="s">
        <v>2392</v>
      </c>
      <c r="E383" s="4">
        <v>21104</v>
      </c>
      <c r="F383" s="200" t="s">
        <v>2390</v>
      </c>
      <c r="G383" s="48">
        <v>11308</v>
      </c>
      <c r="H383" s="151">
        <v>7408</v>
      </c>
      <c r="I383">
        <v>0</v>
      </c>
      <c r="J383" s="196">
        <v>99100604</v>
      </c>
    </row>
    <row r="384" spans="1:10">
      <c r="A384" s="48">
        <v>11309</v>
      </c>
      <c r="B384" s="48">
        <v>1</v>
      </c>
      <c r="C384" s="49" t="s">
        <v>2393</v>
      </c>
      <c r="D384" s="206" t="s">
        <v>2394</v>
      </c>
      <c r="E384" s="4">
        <v>21105</v>
      </c>
      <c r="F384" s="201" t="s">
        <v>2395</v>
      </c>
      <c r="G384" s="48">
        <v>11309</v>
      </c>
      <c r="H384" s="151">
        <v>7409</v>
      </c>
      <c r="I384" s="4">
        <v>0</v>
      </c>
      <c r="J384" s="196">
        <v>99100604</v>
      </c>
    </row>
    <row r="385" spans="1:12">
      <c r="A385" s="48">
        <v>11310</v>
      </c>
      <c r="B385" s="48">
        <v>1</v>
      </c>
      <c r="C385" s="49" t="s">
        <v>2396</v>
      </c>
      <c r="D385" s="206" t="s">
        <v>2397</v>
      </c>
      <c r="E385" s="4">
        <v>21105</v>
      </c>
      <c r="F385" s="201" t="s">
        <v>2395</v>
      </c>
      <c r="G385" s="48">
        <v>11310</v>
      </c>
      <c r="H385" s="151">
        <v>7410</v>
      </c>
      <c r="I385">
        <v>0</v>
      </c>
      <c r="J385" s="196">
        <v>99100604</v>
      </c>
    </row>
    <row r="386" spans="1:12">
      <c r="A386" s="48">
        <v>11311</v>
      </c>
      <c r="B386" s="48">
        <v>1</v>
      </c>
      <c r="C386" s="49" t="s">
        <v>2398</v>
      </c>
      <c r="D386" s="207" t="s">
        <v>2399</v>
      </c>
      <c r="E386" s="4">
        <v>21106</v>
      </c>
      <c r="F386" s="202" t="s">
        <v>2400</v>
      </c>
      <c r="G386" s="48">
        <v>11311</v>
      </c>
      <c r="H386" s="153">
        <v>7411</v>
      </c>
      <c r="I386" s="4">
        <v>0</v>
      </c>
      <c r="J386" s="196">
        <v>99100604</v>
      </c>
    </row>
    <row r="387" spans="1:12">
      <c r="A387" s="48">
        <v>11312</v>
      </c>
      <c r="B387" s="48">
        <v>1</v>
      </c>
      <c r="C387" s="49" t="s">
        <v>2401</v>
      </c>
      <c r="D387" s="208" t="s">
        <v>2402</v>
      </c>
      <c r="E387" s="4">
        <v>21106</v>
      </c>
      <c r="F387" s="202" t="s">
        <v>2400</v>
      </c>
      <c r="G387" s="48">
        <v>11312</v>
      </c>
      <c r="H387" s="153">
        <v>7412</v>
      </c>
      <c r="I387">
        <v>0</v>
      </c>
      <c r="J387" s="196">
        <v>99100604</v>
      </c>
    </row>
    <row r="388" spans="1:12">
      <c r="A388" s="48">
        <v>11401</v>
      </c>
      <c r="B388" s="48">
        <v>1</v>
      </c>
      <c r="C388" s="49" t="s">
        <v>2583</v>
      </c>
      <c r="D388" s="203" t="s">
        <v>2584</v>
      </c>
      <c r="E388" s="4">
        <v>21201</v>
      </c>
      <c r="F388" s="197" t="s">
        <v>2585</v>
      </c>
      <c r="G388" s="48">
        <v>11401</v>
      </c>
      <c r="H388" s="174">
        <v>7501</v>
      </c>
      <c r="I388" s="4">
        <v>0</v>
      </c>
      <c r="J388" s="196">
        <v>99110604</v>
      </c>
    </row>
    <row r="389" spans="1:12">
      <c r="A389" s="48">
        <v>11402</v>
      </c>
      <c r="B389" s="48">
        <v>1</v>
      </c>
      <c r="C389" s="49" t="s">
        <v>2586</v>
      </c>
      <c r="D389" s="204" t="s">
        <v>2587</v>
      </c>
      <c r="E389" s="4">
        <v>21201</v>
      </c>
      <c r="F389" s="197" t="s">
        <v>2585</v>
      </c>
      <c r="G389" s="48">
        <v>11402</v>
      </c>
      <c r="H389" s="174">
        <v>7502</v>
      </c>
      <c r="I389">
        <v>0</v>
      </c>
      <c r="J389" s="196">
        <v>99110604</v>
      </c>
    </row>
    <row r="390" spans="1:12">
      <c r="A390" s="48">
        <v>11403</v>
      </c>
      <c r="B390" s="48">
        <v>1</v>
      </c>
      <c r="C390" s="49" t="s">
        <v>2588</v>
      </c>
      <c r="D390" s="176" t="s">
        <v>2589</v>
      </c>
      <c r="E390" s="4">
        <v>21202</v>
      </c>
      <c r="F390" s="177" t="s">
        <v>2590</v>
      </c>
      <c r="G390" s="48">
        <v>11403</v>
      </c>
      <c r="H390" s="174">
        <v>7503</v>
      </c>
      <c r="I390" s="4">
        <v>0</v>
      </c>
      <c r="J390" s="196">
        <v>99110604</v>
      </c>
    </row>
    <row r="391" spans="1:12">
      <c r="A391" s="48">
        <v>11404</v>
      </c>
      <c r="B391" s="48">
        <v>1</v>
      </c>
      <c r="C391" s="49" t="s">
        <v>2591</v>
      </c>
      <c r="D391" s="176" t="s">
        <v>2592</v>
      </c>
      <c r="E391" s="4">
        <v>21202</v>
      </c>
      <c r="F391" s="177" t="s">
        <v>2590</v>
      </c>
      <c r="G391" s="48">
        <v>11404</v>
      </c>
      <c r="H391" s="149">
        <v>7504</v>
      </c>
      <c r="I391">
        <v>0</v>
      </c>
      <c r="J391" s="196">
        <v>99110604</v>
      </c>
    </row>
    <row r="392" spans="1:12">
      <c r="A392" s="48">
        <v>11405</v>
      </c>
      <c r="B392" s="48">
        <v>1</v>
      </c>
      <c r="C392" s="49" t="s">
        <v>2593</v>
      </c>
      <c r="D392" s="178" t="s">
        <v>2594</v>
      </c>
      <c r="E392" s="4">
        <v>21203</v>
      </c>
      <c r="F392" s="199" t="s">
        <v>2560</v>
      </c>
      <c r="G392" s="48">
        <v>11405</v>
      </c>
      <c r="H392" s="151">
        <v>7505</v>
      </c>
      <c r="I392" s="4">
        <v>0</v>
      </c>
      <c r="J392" s="196">
        <v>99110604</v>
      </c>
    </row>
    <row r="393" spans="1:12">
      <c r="A393" s="48">
        <v>11406</v>
      </c>
      <c r="B393" s="48">
        <v>1</v>
      </c>
      <c r="C393" s="49" t="s">
        <v>2595</v>
      </c>
      <c r="D393" s="178" t="s">
        <v>2596</v>
      </c>
      <c r="E393" s="4">
        <v>21203</v>
      </c>
      <c r="F393" s="199" t="s">
        <v>2560</v>
      </c>
      <c r="G393" s="48">
        <v>11406</v>
      </c>
      <c r="H393" s="151">
        <v>7506</v>
      </c>
      <c r="I393">
        <v>0</v>
      </c>
      <c r="J393" s="196">
        <v>99110604</v>
      </c>
    </row>
    <row r="394" spans="1:12">
      <c r="A394" s="48">
        <v>11407</v>
      </c>
      <c r="B394" s="48">
        <v>1</v>
      </c>
      <c r="C394" s="49" t="s">
        <v>2597</v>
      </c>
      <c r="D394" s="205" t="s">
        <v>2598</v>
      </c>
      <c r="E394" s="4">
        <v>21204</v>
      </c>
      <c r="F394" s="200" t="s">
        <v>2599</v>
      </c>
      <c r="G394" s="48">
        <v>11407</v>
      </c>
      <c r="H394" s="151">
        <v>7507</v>
      </c>
      <c r="I394" s="4">
        <v>0</v>
      </c>
      <c r="J394" s="196">
        <v>99110604</v>
      </c>
    </row>
    <row r="395" spans="1:12">
      <c r="A395" s="48">
        <v>11408</v>
      </c>
      <c r="B395" s="48">
        <v>1</v>
      </c>
      <c r="C395" s="49" t="s">
        <v>2600</v>
      </c>
      <c r="D395" s="205" t="s">
        <v>2601</v>
      </c>
      <c r="E395" s="4">
        <v>21204</v>
      </c>
      <c r="F395" s="200" t="s">
        <v>2599</v>
      </c>
      <c r="G395" s="48">
        <v>11408</v>
      </c>
      <c r="H395" s="151">
        <v>7508</v>
      </c>
      <c r="I395">
        <v>0</v>
      </c>
      <c r="J395" s="196">
        <v>99110604</v>
      </c>
    </row>
    <row r="396" spans="1:12">
      <c r="A396" s="48">
        <v>11409</v>
      </c>
      <c r="B396" s="48">
        <v>1</v>
      </c>
      <c r="C396" s="49" t="s">
        <v>2602</v>
      </c>
      <c r="D396" s="206" t="s">
        <v>2603</v>
      </c>
      <c r="E396" s="4">
        <v>21205</v>
      </c>
      <c r="F396" s="201" t="s">
        <v>2604</v>
      </c>
      <c r="G396" s="48">
        <v>11409</v>
      </c>
      <c r="H396" s="151">
        <v>7509</v>
      </c>
      <c r="I396" s="4">
        <v>0</v>
      </c>
      <c r="J396" s="196">
        <v>99110604</v>
      </c>
    </row>
    <row r="397" spans="1:12">
      <c r="A397" s="48">
        <v>11410</v>
      </c>
      <c r="B397" s="48">
        <v>1</v>
      </c>
      <c r="C397" s="49" t="s">
        <v>2605</v>
      </c>
      <c r="D397" s="206" t="s">
        <v>2606</v>
      </c>
      <c r="E397" s="4">
        <v>21205</v>
      </c>
      <c r="F397" s="201" t="s">
        <v>2604</v>
      </c>
      <c r="G397" s="48">
        <v>11410</v>
      </c>
      <c r="H397" s="151">
        <v>7510</v>
      </c>
      <c r="I397">
        <v>0</v>
      </c>
      <c r="J397" s="196">
        <v>99110604</v>
      </c>
    </row>
    <row r="398" spans="1:12">
      <c r="A398" s="48">
        <v>11411</v>
      </c>
      <c r="B398" s="48">
        <v>1</v>
      </c>
      <c r="C398" s="49" t="s">
        <v>2607</v>
      </c>
      <c r="D398" s="207" t="s">
        <v>2608</v>
      </c>
      <c r="E398" s="4">
        <v>21206</v>
      </c>
      <c r="F398" s="202" t="s">
        <v>2609</v>
      </c>
      <c r="G398" s="48">
        <v>11411</v>
      </c>
      <c r="H398" s="153">
        <v>7511</v>
      </c>
      <c r="I398" s="4">
        <v>0</v>
      </c>
      <c r="J398" s="196">
        <v>99110604</v>
      </c>
    </row>
    <row r="399" spans="1:12">
      <c r="A399" s="48">
        <v>11412</v>
      </c>
      <c r="B399" s="48">
        <v>1</v>
      </c>
      <c r="C399" s="49" t="s">
        <v>2610</v>
      </c>
      <c r="D399" s="208" t="s">
        <v>2611</v>
      </c>
      <c r="E399" s="4">
        <v>21206</v>
      </c>
      <c r="F399" s="202" t="s">
        <v>2609</v>
      </c>
      <c r="G399" s="48">
        <v>11412</v>
      </c>
      <c r="H399" s="153">
        <v>7512</v>
      </c>
      <c r="I399">
        <v>0</v>
      </c>
      <c r="J399" s="196">
        <v>99110604</v>
      </c>
    </row>
    <row r="400" spans="1:12">
      <c r="A400" s="48">
        <v>20001</v>
      </c>
      <c r="B400" s="48">
        <v>2</v>
      </c>
      <c r="C400" s="49" t="s">
        <v>1677</v>
      </c>
      <c r="D400" s="97" t="s">
        <v>1598</v>
      </c>
      <c r="E400" s="48">
        <v>10101</v>
      </c>
      <c r="F400" s="27" t="s">
        <v>1574</v>
      </c>
      <c r="G400" s="48">
        <v>1</v>
      </c>
      <c r="H400" s="20" t="s">
        <v>1576</v>
      </c>
      <c r="I400" s="4">
        <v>0</v>
      </c>
      <c r="J400" s="4">
        <v>99130604</v>
      </c>
      <c r="K400" t="s">
        <v>1614</v>
      </c>
      <c r="L400" s="27" t="s">
        <v>1595</v>
      </c>
    </row>
    <row r="401" spans="1:12">
      <c r="A401" s="48">
        <v>20101</v>
      </c>
      <c r="B401" s="48">
        <v>2</v>
      </c>
      <c r="C401" s="49" t="s">
        <v>1678</v>
      </c>
      <c r="D401" s="49" t="s">
        <v>1599</v>
      </c>
      <c r="E401" s="48">
        <v>10102</v>
      </c>
      <c r="F401" s="27" t="s">
        <v>1489</v>
      </c>
      <c r="G401" s="48">
        <v>1</v>
      </c>
      <c r="H401" s="20" t="s">
        <v>1577</v>
      </c>
      <c r="I401">
        <v>0</v>
      </c>
      <c r="J401">
        <v>99020604</v>
      </c>
      <c r="K401" t="s">
        <v>1615</v>
      </c>
      <c r="L401" s="27" t="s">
        <v>1596</v>
      </c>
    </row>
    <row r="402" spans="1:12">
      <c r="A402" s="48">
        <v>20201</v>
      </c>
      <c r="B402" s="48">
        <v>2</v>
      </c>
      <c r="C402" s="49" t="s">
        <v>1679</v>
      </c>
      <c r="D402" s="49" t="s">
        <v>1600</v>
      </c>
      <c r="E402" s="48">
        <v>10103</v>
      </c>
      <c r="F402" s="27" t="s">
        <v>1490</v>
      </c>
      <c r="G402" s="48">
        <v>1</v>
      </c>
      <c r="H402" s="20" t="s">
        <v>1578</v>
      </c>
      <c r="I402" s="4">
        <v>600001</v>
      </c>
      <c r="J402" s="48">
        <v>99030604</v>
      </c>
      <c r="K402" t="s">
        <v>1616</v>
      </c>
      <c r="L402" s="27" t="s">
        <v>1597</v>
      </c>
    </row>
    <row r="403" spans="1:12">
      <c r="A403" s="48">
        <v>20301</v>
      </c>
      <c r="B403" s="48">
        <v>2</v>
      </c>
      <c r="C403" s="49" t="s">
        <v>1756</v>
      </c>
      <c r="D403" s="99" t="s">
        <v>1805</v>
      </c>
      <c r="E403" s="48">
        <v>10104</v>
      </c>
      <c r="F403" s="27" t="s">
        <v>1741</v>
      </c>
      <c r="G403" s="48">
        <v>1</v>
      </c>
      <c r="H403" s="20" t="s">
        <v>1806</v>
      </c>
      <c r="I403" s="4">
        <v>600002</v>
      </c>
      <c r="J403">
        <v>99040604</v>
      </c>
      <c r="K403" t="s">
        <v>1807</v>
      </c>
      <c r="L403" s="99" t="s">
        <v>2086</v>
      </c>
    </row>
    <row r="404" spans="1:12">
      <c r="A404" s="48">
        <v>20401</v>
      </c>
      <c r="B404" s="48">
        <v>2</v>
      </c>
      <c r="C404" s="49" t="s">
        <v>1820</v>
      </c>
      <c r="D404" s="99" t="s">
        <v>1958</v>
      </c>
      <c r="E404" s="48">
        <v>10105</v>
      </c>
      <c r="F404" s="27" t="s">
        <v>1957</v>
      </c>
      <c r="G404" s="48">
        <v>1</v>
      </c>
      <c r="H404" s="20" t="s">
        <v>1954</v>
      </c>
      <c r="I404">
        <v>0</v>
      </c>
      <c r="J404" s="147">
        <v>99110808</v>
      </c>
      <c r="K404" s="27" t="s">
        <v>1955</v>
      </c>
      <c r="L404" s="99" t="s">
        <v>1959</v>
      </c>
    </row>
    <row r="405" spans="1:12">
      <c r="A405" s="48">
        <v>20501</v>
      </c>
      <c r="B405" s="48">
        <v>2</v>
      </c>
      <c r="C405" s="49" t="s">
        <v>2013</v>
      </c>
      <c r="D405" s="99" t="s">
        <v>2068</v>
      </c>
      <c r="E405" s="48">
        <v>10106</v>
      </c>
      <c r="F405" s="27" t="s">
        <v>2012</v>
      </c>
      <c r="G405" s="48">
        <v>1</v>
      </c>
      <c r="H405" s="20" t="s">
        <v>2070</v>
      </c>
      <c r="I405" s="4">
        <v>600003</v>
      </c>
      <c r="J405">
        <v>99120804</v>
      </c>
      <c r="K405" s="27" t="s">
        <v>2071</v>
      </c>
      <c r="L405" s="99" t="s">
        <v>2072</v>
      </c>
    </row>
    <row r="406" spans="1:12">
      <c r="A406" s="48">
        <v>20601</v>
      </c>
      <c r="B406" s="48">
        <v>2</v>
      </c>
      <c r="C406" s="49" t="s">
        <v>2094</v>
      </c>
      <c r="D406" t="s">
        <v>2142</v>
      </c>
      <c r="E406" s="4">
        <v>10107</v>
      </c>
      <c r="F406" s="27" t="s">
        <v>2091</v>
      </c>
      <c r="G406" s="48">
        <v>1</v>
      </c>
      <c r="H406" s="20" t="s">
        <v>2144</v>
      </c>
      <c r="I406" s="4">
        <v>600004</v>
      </c>
      <c r="J406">
        <v>99050604</v>
      </c>
      <c r="K406" s="27" t="s">
        <v>2145</v>
      </c>
      <c r="L406" t="s">
        <v>2146</v>
      </c>
    </row>
    <row r="407" spans="1:12">
      <c r="A407" s="48">
        <v>20701</v>
      </c>
      <c r="B407" s="48">
        <v>2</v>
      </c>
      <c r="C407" s="49" t="s">
        <v>2195</v>
      </c>
      <c r="D407" t="s">
        <v>2196</v>
      </c>
      <c r="E407" s="4">
        <v>10108</v>
      </c>
      <c r="F407" s="27" t="s">
        <v>2148</v>
      </c>
      <c r="G407" s="48">
        <v>1</v>
      </c>
      <c r="H407" s="20" t="s">
        <v>2197</v>
      </c>
      <c r="I407" s="4">
        <v>600005</v>
      </c>
      <c r="J407">
        <v>99060604</v>
      </c>
      <c r="K407" s="27" t="s">
        <v>2198</v>
      </c>
      <c r="L407" t="s">
        <v>2199</v>
      </c>
    </row>
    <row r="408" spans="1:12">
      <c r="A408" s="48">
        <v>20801</v>
      </c>
      <c r="B408" s="48">
        <v>2</v>
      </c>
      <c r="C408" s="49" t="s">
        <v>2205</v>
      </c>
      <c r="D408" t="s">
        <v>2248</v>
      </c>
      <c r="E408" s="48">
        <v>10109</v>
      </c>
      <c r="F408" s="27" t="s">
        <v>2202</v>
      </c>
      <c r="G408" s="48">
        <v>1</v>
      </c>
      <c r="H408" s="20" t="s">
        <v>2251</v>
      </c>
      <c r="I408" s="4">
        <v>600006</v>
      </c>
      <c r="J408" s="196">
        <v>99070604</v>
      </c>
      <c r="K408" s="27" t="s">
        <v>2249</v>
      </c>
      <c r="L408" t="s">
        <v>2250</v>
      </c>
    </row>
    <row r="409" spans="1:12">
      <c r="A409" s="48">
        <v>20901</v>
      </c>
      <c r="B409" s="48">
        <v>2</v>
      </c>
      <c r="C409" s="49" t="s">
        <v>2304</v>
      </c>
      <c r="D409" s="27" t="s">
        <v>2305</v>
      </c>
      <c r="E409" s="4">
        <v>10110</v>
      </c>
      <c r="F409" s="27" t="s">
        <v>2258</v>
      </c>
      <c r="G409" s="48">
        <v>1</v>
      </c>
      <c r="H409" s="20" t="s">
        <v>2306</v>
      </c>
      <c r="I409" s="4">
        <v>600007</v>
      </c>
      <c r="J409">
        <v>99080604</v>
      </c>
      <c r="K409" s="27" t="s">
        <v>2307</v>
      </c>
      <c r="L409" t="s">
        <v>2308</v>
      </c>
    </row>
    <row r="410" spans="1:12">
      <c r="A410" s="48">
        <v>21001</v>
      </c>
      <c r="B410" s="48">
        <v>2</v>
      </c>
      <c r="C410" s="49" t="s">
        <v>2356</v>
      </c>
      <c r="D410" t="s">
        <v>2357</v>
      </c>
      <c r="E410" s="48">
        <v>10111</v>
      </c>
      <c r="F410" t="s">
        <v>2310</v>
      </c>
      <c r="G410" s="48">
        <v>1</v>
      </c>
      <c r="H410" s="20" t="s">
        <v>2358</v>
      </c>
      <c r="I410" s="4">
        <v>600008</v>
      </c>
      <c r="J410">
        <v>99090604</v>
      </c>
      <c r="K410" s="27" t="s">
        <v>2359</v>
      </c>
      <c r="L410" t="s">
        <v>2360</v>
      </c>
    </row>
    <row r="411" spans="1:12">
      <c r="A411" s="48">
        <v>21101</v>
      </c>
      <c r="B411" s="48">
        <v>2</v>
      </c>
      <c r="C411" s="49" t="s">
        <v>2403</v>
      </c>
      <c r="D411" t="s">
        <v>2404</v>
      </c>
      <c r="E411" s="4">
        <v>10112</v>
      </c>
      <c r="F411" s="27" t="s">
        <v>2362</v>
      </c>
      <c r="G411" s="48">
        <v>1</v>
      </c>
      <c r="H411" s="20" t="s">
        <v>2405</v>
      </c>
      <c r="I411" s="4">
        <v>600009</v>
      </c>
      <c r="J411">
        <v>99100604</v>
      </c>
      <c r="K411" s="27" t="s">
        <v>2406</v>
      </c>
      <c r="L411" t="s">
        <v>2407</v>
      </c>
    </row>
    <row r="412" spans="1:12">
      <c r="A412" s="48">
        <v>21201</v>
      </c>
      <c r="B412" s="48">
        <v>2</v>
      </c>
      <c r="C412" s="49" t="s">
        <v>2612</v>
      </c>
      <c r="D412" s="27" t="s">
        <v>2613</v>
      </c>
      <c r="E412" s="4">
        <v>10113</v>
      </c>
      <c r="F412" s="27" t="s">
        <v>2582</v>
      </c>
      <c r="G412" s="48">
        <v>1</v>
      </c>
      <c r="H412" s="20" t="s">
        <v>2614</v>
      </c>
      <c r="I412" s="4">
        <v>600010</v>
      </c>
      <c r="J412">
        <v>99110604</v>
      </c>
      <c r="K412" s="27" t="s">
        <v>2615</v>
      </c>
      <c r="L412" t="s">
        <v>2616</v>
      </c>
    </row>
  </sheetData>
  <autoFilter ref="A7:J209" xr:uid="{00000000-0009-0000-0000-00000F000000}">
    <sortState xmlns:xlrd2="http://schemas.microsoft.com/office/spreadsheetml/2017/richdata2" ref="A8:J209">
      <sortCondition ref="A7:A209"/>
    </sortState>
  </autoFilter>
  <phoneticPr fontId="15" type="noConversion"/>
  <conditionalFormatting sqref="H6">
    <cfRule type="containsText" dxfId="117" priority="43" operator="containsText" text="请填写">
      <formula>NOT(ISERROR(SEARCH("请填写",H6)))</formula>
    </cfRule>
  </conditionalFormatting>
  <conditionalFormatting sqref="D3:H5 D7:H7">
    <cfRule type="containsText" dxfId="116" priority="45" operator="containsText" text="请填写">
      <formula>NOT(ISERROR(SEARCH("请填写",D3)))</formula>
    </cfRule>
    <cfRule type="containsText" dxfId="115" priority="48" operator="containsText" text="请填写">
      <formula>NOT(ISERROR(SEARCH("请填写",D3)))</formula>
    </cfRule>
  </conditionalFormatting>
  <conditionalFormatting sqref="J6">
    <cfRule type="containsText" dxfId="114" priority="40" operator="containsText" text="请填写">
      <formula>NOT(ISERROR(SEARCH("请填写",J6)))</formula>
    </cfRule>
    <cfRule type="containsText" dxfId="113" priority="41" operator="containsText" text="请填写">
      <formula>NOT(ISERROR(SEARCH("请填写",J6)))</formula>
    </cfRule>
  </conditionalFormatting>
  <conditionalFormatting sqref="B3:B7">
    <cfRule type="containsText" dxfId="112" priority="51" operator="containsText" text="请填写">
      <formula>NOT(ISERROR(SEARCH("请填写",B3)))</formula>
    </cfRule>
  </conditionalFormatting>
  <conditionalFormatting sqref="C1:C2">
    <cfRule type="duplicateValues" dxfId="111" priority="46"/>
  </conditionalFormatting>
  <conditionalFormatting sqref="C3:C7">
    <cfRule type="containsText" dxfId="110" priority="50" operator="containsText" text="请填写">
      <formula>NOT(ISERROR(SEARCH("请填写",C3)))</formula>
    </cfRule>
  </conditionalFormatting>
  <conditionalFormatting sqref="E3:F7">
    <cfRule type="containsText" dxfId="109" priority="42" operator="containsText" text="请填写">
      <formula>NOT(ISERROR(SEARCH("请填写",E3)))</formula>
    </cfRule>
  </conditionalFormatting>
  <conditionalFormatting sqref="A3:A7 G3:G7">
    <cfRule type="containsText" dxfId="108" priority="52" operator="containsText" text="请填写">
      <formula>NOT(ISERROR(SEARCH("请填写",A3)))</formula>
    </cfRule>
  </conditionalFormatting>
  <conditionalFormatting sqref="D6:G6">
    <cfRule type="containsText" dxfId="107" priority="44" operator="containsText" text="请填写">
      <formula>NOT(ISERROR(SEARCH("请填写",D6)))</formula>
    </cfRule>
    <cfRule type="containsText" dxfId="106" priority="49" operator="containsText" text="请填写">
      <formula>NOT(ISERROR(SEARCH("请填写",D6)))</formula>
    </cfRule>
  </conditionalFormatting>
  <conditionalFormatting sqref="J3:J5 J7">
    <cfRule type="containsText" dxfId="105" priority="47" operator="containsText" text="请填写">
      <formula>NOT(ISERROR(SEARCH("请填写",J3)))</formula>
    </cfRule>
  </conditionalFormatting>
  <conditionalFormatting sqref="H132:H148">
    <cfRule type="duplicateValues" dxfId="104" priority="39"/>
  </conditionalFormatting>
  <conditionalFormatting sqref="H149:H162">
    <cfRule type="duplicateValues" dxfId="103" priority="38"/>
  </conditionalFormatting>
  <conditionalFormatting sqref="H198:H200">
    <cfRule type="containsText" dxfId="102" priority="36" operator="containsText" text="请填写">
      <formula>NOT(ISERROR(SEARCH("请填写",H198)))</formula>
    </cfRule>
  </conditionalFormatting>
  <conditionalFormatting sqref="H176:H177 H198:H200">
    <cfRule type="containsText" priority="37" operator="containsText" text="请填写">
      <formula>NOT(ISERROR(SEARCH("请填写",H176)))</formula>
    </cfRule>
  </conditionalFormatting>
  <conditionalFormatting sqref="H8">
    <cfRule type="duplicateValues" dxfId="101" priority="35"/>
  </conditionalFormatting>
  <conditionalFormatting sqref="D8">
    <cfRule type="duplicateValues" dxfId="100" priority="34"/>
  </conditionalFormatting>
  <conditionalFormatting sqref="H178">
    <cfRule type="containsText" priority="33" operator="containsText" text="请填写">
      <formula>NOT(ISERROR(SEARCH("请填写",H178)))</formula>
    </cfRule>
  </conditionalFormatting>
  <conditionalFormatting sqref="H179:H197">
    <cfRule type="containsText" priority="32" operator="containsText" text="请填写">
      <formula>NOT(ISERROR(SEARCH("请填写",H179)))</formula>
    </cfRule>
  </conditionalFormatting>
  <conditionalFormatting sqref="H260">
    <cfRule type="duplicateValues" dxfId="99" priority="31"/>
  </conditionalFormatting>
  <conditionalFormatting sqref="H9:H17">
    <cfRule type="duplicateValues" dxfId="98" priority="53"/>
  </conditionalFormatting>
  <conditionalFormatting sqref="J20:J27">
    <cfRule type="duplicateValues" dxfId="97" priority="30"/>
  </conditionalFormatting>
  <conditionalFormatting sqref="H400 H402:H403">
    <cfRule type="duplicateValues" dxfId="96" priority="29"/>
  </conditionalFormatting>
  <conditionalFormatting sqref="D400">
    <cfRule type="duplicateValues" dxfId="95" priority="28"/>
  </conditionalFormatting>
  <conditionalFormatting sqref="H401">
    <cfRule type="duplicateValues" dxfId="94" priority="27"/>
  </conditionalFormatting>
  <conditionalFormatting sqref="K3:K7">
    <cfRule type="containsText" dxfId="93" priority="25" operator="containsText" text="请填写">
      <formula>NOT(ISERROR(SEARCH("请填写",K3)))</formula>
    </cfRule>
    <cfRule type="containsText" dxfId="92" priority="26" operator="containsText" text="请填写">
      <formula>NOT(ISERROR(SEARCH("请填写",K3)))</formula>
    </cfRule>
  </conditionalFormatting>
  <conditionalFormatting sqref="L3:L7">
    <cfRule type="containsText" dxfId="91" priority="23" operator="containsText" text="请填写">
      <formula>NOT(ISERROR(SEARCH("请填写",L3)))</formula>
    </cfRule>
    <cfRule type="containsText" dxfId="90" priority="24" operator="containsText" text="请填写">
      <formula>NOT(ISERROR(SEARCH("请填写",L3)))</formula>
    </cfRule>
  </conditionalFormatting>
  <conditionalFormatting sqref="H413:H1048576 H180:H195 H106:H131 H31:H99 H246:H259 H1:H7 H261:H311">
    <cfRule type="duplicateValues" dxfId="89" priority="54"/>
  </conditionalFormatting>
  <conditionalFormatting sqref="H404">
    <cfRule type="duplicateValues" dxfId="88" priority="22"/>
  </conditionalFormatting>
  <conditionalFormatting sqref="H405:H406 H408:H409 H411">
    <cfRule type="duplicateValues" dxfId="87" priority="21"/>
  </conditionalFormatting>
  <conditionalFormatting sqref="J401">
    <cfRule type="duplicateValues" dxfId="86" priority="20"/>
  </conditionalFormatting>
  <conditionalFormatting sqref="J230:J245">
    <cfRule type="duplicateValues" dxfId="85" priority="18"/>
  </conditionalFormatting>
  <conditionalFormatting sqref="H230:H245">
    <cfRule type="duplicateValues" dxfId="84" priority="19"/>
  </conditionalFormatting>
  <conditionalFormatting sqref="I7">
    <cfRule type="containsText" dxfId="83" priority="15" operator="containsText" text="请填写">
      <formula>NOT(ISERROR(SEARCH("请填写",I7)))</formula>
    </cfRule>
    <cfRule type="containsText" dxfId="82" priority="16" operator="containsText" text="请填写">
      <formula>NOT(ISERROR(SEARCH("请填写",I7)))</formula>
    </cfRule>
  </conditionalFormatting>
  <conditionalFormatting sqref="I6">
    <cfRule type="containsText" dxfId="81" priority="13" operator="containsText" text="请填写">
      <formula>NOT(ISERROR(SEARCH("请填写",I6)))</formula>
    </cfRule>
    <cfRule type="containsText" dxfId="80" priority="14" operator="containsText" text="请填写">
      <formula>NOT(ISERROR(SEARCH("请填写",I6)))</formula>
    </cfRule>
  </conditionalFormatting>
  <conditionalFormatting sqref="I4:I5">
    <cfRule type="containsText" dxfId="79" priority="11" operator="containsText" text="请填写">
      <formula>NOT(ISERROR(SEARCH("请填写",I4)))</formula>
    </cfRule>
    <cfRule type="containsText" dxfId="78" priority="12" operator="containsText" text="请填写">
      <formula>NOT(ISERROR(SEARCH("请填写",I4)))</formula>
    </cfRule>
  </conditionalFormatting>
  <conditionalFormatting sqref="I4:I5">
    <cfRule type="containsText" dxfId="77" priority="8" operator="containsText" text="请填写">
      <formula>NOT(ISERROR(SEARCH("请填写",I4)))</formula>
    </cfRule>
    <cfRule type="containsText" dxfId="76" priority="9" operator="containsText" text="请填写">
      <formula>NOT(ISERROR(SEARCH("请填写",I4)))</formula>
    </cfRule>
    <cfRule type="containsText" dxfId="75" priority="10" operator="containsText" text="请填写">
      <formula>NOT(ISERROR(SEARCH("请填写",I4)))</formula>
    </cfRule>
  </conditionalFormatting>
  <conditionalFormatting sqref="I405:I411 I7 I413:I1048576">
    <cfRule type="duplicateValues" dxfId="74" priority="17"/>
  </conditionalFormatting>
  <conditionalFormatting sqref="I4:I7">
    <cfRule type="containsText" dxfId="73" priority="7" operator="containsText" text="请填写">
      <formula>NOT(ISERROR(SEARCH("请填写",I4)))</formula>
    </cfRule>
  </conditionalFormatting>
  <conditionalFormatting sqref="I402">
    <cfRule type="duplicateValues" dxfId="72" priority="6"/>
  </conditionalFormatting>
  <conditionalFormatting sqref="I403">
    <cfRule type="duplicateValues" dxfId="71" priority="5"/>
  </conditionalFormatting>
  <conditionalFormatting sqref="H407 H410">
    <cfRule type="duplicateValues" dxfId="70" priority="4"/>
  </conditionalFormatting>
  <conditionalFormatting sqref="I3">
    <cfRule type="containsText" dxfId="69" priority="3" operator="containsText" text="请填写">
      <formula>NOT(ISERROR(SEARCH("请填写",I3)))</formula>
    </cfRule>
  </conditionalFormatting>
  <conditionalFormatting sqref="H412">
    <cfRule type="duplicateValues" dxfId="1" priority="2"/>
  </conditionalFormatting>
  <conditionalFormatting sqref="I412">
    <cfRule type="duplicateValues" dxfId="0" priority="1"/>
  </conditionalFormatting>
  <dataValidations count="2">
    <dataValidation type="list" allowBlank="1" showInputMessage="1" showErrorMessage="1" sqref="A3:L3 H179:H195" xr:uid="{00000000-0002-0000-0F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L4 H196" xr:uid="{00000000-0002-0000-0F00-000001000000}">
      <formula1>"All,Server,Client,None"</formula1>
    </dataValidation>
  </dataValidations>
  <pageMargins left="0.7" right="0.7" top="0.75" bottom="0.75" header="0.3" footer="0.3"/>
  <pageSetup paperSize="9" fitToHeight="0"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3" tint="-0.249977111117893"/>
  </sheetPr>
  <dimension ref="A1:E150"/>
  <sheetViews>
    <sheetView workbookViewId="0">
      <pane xSplit="3" ySplit="7" topLeftCell="D119" activePane="bottomRight" state="frozenSplit"/>
      <selection pane="topRight"/>
      <selection pane="bottomLeft"/>
      <selection pane="bottomRight" activeCell="B156" sqref="B156"/>
    </sheetView>
  </sheetViews>
  <sheetFormatPr defaultColWidth="9" defaultRowHeight="13.5"/>
  <cols>
    <col min="1" max="1" width="25.875" customWidth="1"/>
    <col min="2" max="2" width="36.125" customWidth="1"/>
    <col min="3" max="4" width="22" customWidth="1"/>
    <col min="5" max="5" width="32.125" customWidth="1"/>
  </cols>
  <sheetData>
    <row r="1" spans="1:5" ht="14.25">
      <c r="A1" s="139" t="s">
        <v>36</v>
      </c>
      <c r="B1" s="2" t="s">
        <v>432</v>
      </c>
      <c r="C1" s="140" t="s">
        <v>433</v>
      </c>
      <c r="D1" s="139" t="s">
        <v>1458</v>
      </c>
      <c r="E1" s="141" t="s">
        <v>434</v>
      </c>
    </row>
    <row r="2" spans="1:5" ht="14.25">
      <c r="A2" s="139" t="s">
        <v>41</v>
      </c>
      <c r="B2" s="2" t="s">
        <v>42</v>
      </c>
      <c r="C2" s="140" t="s">
        <v>43</v>
      </c>
      <c r="D2" s="139" t="s">
        <v>385</v>
      </c>
      <c r="E2" s="141" t="s">
        <v>109</v>
      </c>
    </row>
    <row r="3" spans="1:5">
      <c r="A3" s="139" t="s">
        <v>46</v>
      </c>
      <c r="B3" s="140" t="s">
        <v>47</v>
      </c>
      <c r="C3" s="140" t="s">
        <v>47</v>
      </c>
      <c r="D3" s="139" t="s">
        <v>46</v>
      </c>
      <c r="E3" s="141" t="s">
        <v>46</v>
      </c>
    </row>
    <row r="4" spans="1:5">
      <c r="A4" s="139" t="s">
        <v>48</v>
      </c>
      <c r="B4" s="140" t="s">
        <v>49</v>
      </c>
      <c r="C4" s="140" t="s">
        <v>50</v>
      </c>
      <c r="D4" s="139" t="s">
        <v>49</v>
      </c>
      <c r="E4" s="141" t="s">
        <v>49</v>
      </c>
    </row>
    <row r="5" spans="1:5">
      <c r="A5" s="139" t="s">
        <v>51</v>
      </c>
      <c r="B5" s="140"/>
      <c r="C5" s="140"/>
      <c r="D5" s="139"/>
      <c r="E5" s="141"/>
    </row>
    <row r="6" spans="1:5" ht="40.5">
      <c r="A6" s="139" t="s">
        <v>52</v>
      </c>
      <c r="B6" s="140"/>
      <c r="C6" s="140"/>
      <c r="D6" s="139" t="s">
        <v>1460</v>
      </c>
      <c r="E6" s="141" t="s">
        <v>114</v>
      </c>
    </row>
    <row r="7" spans="1:5">
      <c r="A7" s="139" t="s">
        <v>8</v>
      </c>
      <c r="B7" s="140" t="s">
        <v>8</v>
      </c>
      <c r="C7" s="140" t="s">
        <v>8</v>
      </c>
      <c r="D7" s="142"/>
      <c r="E7" s="141" t="s">
        <v>8</v>
      </c>
    </row>
    <row r="8" spans="1:5">
      <c r="A8" s="4">
        <v>1</v>
      </c>
      <c r="B8" s="4" t="s">
        <v>1680</v>
      </c>
      <c r="C8" s="4" t="s">
        <v>1675</v>
      </c>
      <c r="D8" s="4">
        <v>1001</v>
      </c>
      <c r="E8" s="4">
        <v>1</v>
      </c>
    </row>
    <row r="9" spans="1:5">
      <c r="A9" s="4">
        <v>2</v>
      </c>
      <c r="B9" s="4" t="s">
        <v>1681</v>
      </c>
      <c r="C9" s="27" t="s">
        <v>1744</v>
      </c>
      <c r="D9" s="27">
        <v>1002</v>
      </c>
      <c r="E9" s="4">
        <v>2</v>
      </c>
    </row>
    <row r="10" spans="1:5">
      <c r="A10" s="4">
        <v>3</v>
      </c>
      <c r="B10" s="4" t="s">
        <v>1682</v>
      </c>
      <c r="C10" s="27" t="s">
        <v>1632</v>
      </c>
      <c r="D10" s="4">
        <v>1002</v>
      </c>
      <c r="E10" s="4">
        <v>3</v>
      </c>
    </row>
    <row r="11" spans="1:5">
      <c r="A11" s="4">
        <v>4</v>
      </c>
      <c r="B11" s="4" t="s">
        <v>1683</v>
      </c>
      <c r="C11" s="27" t="s">
        <v>1633</v>
      </c>
      <c r="D11" s="27">
        <v>1003</v>
      </c>
      <c r="E11" s="4">
        <v>4</v>
      </c>
    </row>
    <row r="12" spans="1:5">
      <c r="A12" s="4">
        <v>5</v>
      </c>
      <c r="B12" s="4" t="s">
        <v>1684</v>
      </c>
      <c r="C12" s="4" t="s">
        <v>1634</v>
      </c>
      <c r="D12" s="4">
        <v>1003</v>
      </c>
      <c r="E12" s="4">
        <v>5</v>
      </c>
    </row>
    <row r="13" spans="1:5">
      <c r="A13" s="4">
        <v>6</v>
      </c>
      <c r="B13" s="4" t="s">
        <v>1685</v>
      </c>
      <c r="C13" s="4" t="s">
        <v>1635</v>
      </c>
      <c r="D13" s="27">
        <v>1003</v>
      </c>
      <c r="E13" s="4">
        <v>6</v>
      </c>
    </row>
    <row r="14" spans="1:5">
      <c r="A14" s="4">
        <v>7</v>
      </c>
      <c r="B14" s="4" t="s">
        <v>1686</v>
      </c>
      <c r="C14" s="4" t="s">
        <v>1636</v>
      </c>
      <c r="D14" s="27">
        <v>1004</v>
      </c>
      <c r="E14" s="4">
        <v>7</v>
      </c>
    </row>
    <row r="15" spans="1:5">
      <c r="A15" s="4">
        <v>8</v>
      </c>
      <c r="B15" s="4" t="s">
        <v>1687</v>
      </c>
      <c r="C15" s="4" t="s">
        <v>1637</v>
      </c>
      <c r="D15" s="27">
        <v>1004</v>
      </c>
      <c r="E15" s="4">
        <v>8</v>
      </c>
    </row>
    <row r="16" spans="1:5">
      <c r="A16" s="4">
        <v>9</v>
      </c>
      <c r="B16" s="4" t="s">
        <v>1688</v>
      </c>
      <c r="C16" s="4" t="s">
        <v>1638</v>
      </c>
      <c r="D16" s="27">
        <v>1005</v>
      </c>
      <c r="E16" s="4">
        <v>9</v>
      </c>
    </row>
    <row r="17" spans="1:5" s="32" customFormat="1">
      <c r="A17" s="4">
        <v>10</v>
      </c>
      <c r="B17" s="4" t="s">
        <v>1689</v>
      </c>
      <c r="C17" s="4" t="s">
        <v>1639</v>
      </c>
      <c r="D17" s="27">
        <v>1005</v>
      </c>
      <c r="E17" s="4">
        <v>10</v>
      </c>
    </row>
    <row r="18" spans="1:5">
      <c r="A18" s="4">
        <v>11</v>
      </c>
      <c r="B18" s="4" t="s">
        <v>1690</v>
      </c>
      <c r="C18" s="4" t="s">
        <v>1640</v>
      </c>
      <c r="D18" s="27">
        <v>1005</v>
      </c>
      <c r="E18" s="4">
        <v>11</v>
      </c>
    </row>
    <row r="19" spans="1:5">
      <c r="A19" s="4">
        <v>12</v>
      </c>
      <c r="B19" s="4" t="s">
        <v>1691</v>
      </c>
      <c r="C19" s="4" t="s">
        <v>1641</v>
      </c>
      <c r="D19" s="27">
        <v>1006</v>
      </c>
      <c r="E19" s="4">
        <v>12</v>
      </c>
    </row>
    <row r="20" spans="1:5">
      <c r="A20" s="4">
        <v>13</v>
      </c>
      <c r="B20" s="4" t="s">
        <v>1692</v>
      </c>
      <c r="C20" s="4" t="s">
        <v>1642</v>
      </c>
      <c r="D20" s="27">
        <v>1006</v>
      </c>
      <c r="E20" s="4">
        <v>13</v>
      </c>
    </row>
    <row r="21" spans="1:5">
      <c r="A21" s="4">
        <v>14</v>
      </c>
      <c r="B21" s="4" t="s">
        <v>1693</v>
      </c>
      <c r="C21" s="4" t="s">
        <v>1643</v>
      </c>
      <c r="D21" s="27">
        <v>1006</v>
      </c>
      <c r="E21" s="4">
        <v>14</v>
      </c>
    </row>
    <row r="22" spans="1:5">
      <c r="A22" s="4">
        <v>15</v>
      </c>
      <c r="B22" s="4" t="s">
        <v>1694</v>
      </c>
      <c r="C22" s="4" t="s">
        <v>1644</v>
      </c>
      <c r="D22" s="27">
        <v>1006</v>
      </c>
      <c r="E22" s="4">
        <v>15</v>
      </c>
    </row>
    <row r="23" spans="1:5">
      <c r="A23" s="4">
        <v>16</v>
      </c>
      <c r="B23" s="4" t="s">
        <v>1695</v>
      </c>
      <c r="C23" s="4" t="s">
        <v>1645</v>
      </c>
      <c r="D23" s="27">
        <v>1006</v>
      </c>
      <c r="E23" s="4">
        <v>16</v>
      </c>
    </row>
    <row r="24" spans="1:5" ht="16.5">
      <c r="A24" s="4">
        <v>17</v>
      </c>
      <c r="B24" s="4" t="s">
        <v>1696</v>
      </c>
      <c r="C24" s="45" t="s">
        <v>1646</v>
      </c>
      <c r="D24" s="27">
        <v>1007</v>
      </c>
      <c r="E24" s="4">
        <v>17</v>
      </c>
    </row>
    <row r="25" spans="1:5" ht="16.5">
      <c r="A25" s="4">
        <v>18</v>
      </c>
      <c r="B25" s="4" t="s">
        <v>1697</v>
      </c>
      <c r="C25" s="45" t="s">
        <v>1647</v>
      </c>
      <c r="D25" s="27">
        <v>1007</v>
      </c>
      <c r="E25" s="4">
        <v>18</v>
      </c>
    </row>
    <row r="26" spans="1:5" ht="16.5">
      <c r="A26" s="4">
        <v>19</v>
      </c>
      <c r="B26" s="4" t="s">
        <v>1698</v>
      </c>
      <c r="C26" s="46" t="s">
        <v>1648</v>
      </c>
      <c r="D26" s="27">
        <v>1008</v>
      </c>
      <c r="E26" s="4">
        <v>19</v>
      </c>
    </row>
    <row r="27" spans="1:5" ht="16.5">
      <c r="A27" s="4">
        <v>20</v>
      </c>
      <c r="B27" s="4" t="s">
        <v>1699</v>
      </c>
      <c r="C27" s="46" t="s">
        <v>1649</v>
      </c>
      <c r="D27" s="27">
        <v>1008</v>
      </c>
      <c r="E27" s="4">
        <v>20</v>
      </c>
    </row>
    <row r="28" spans="1:5">
      <c r="A28" s="4">
        <v>21</v>
      </c>
      <c r="B28" s="4" t="s">
        <v>1700</v>
      </c>
      <c r="C28" s="4" t="s">
        <v>1650</v>
      </c>
      <c r="D28" s="27">
        <v>1009</v>
      </c>
      <c r="E28" s="4">
        <v>21</v>
      </c>
    </row>
    <row r="29" spans="1:5">
      <c r="A29" s="4">
        <v>22</v>
      </c>
      <c r="B29" s="4" t="s">
        <v>1701</v>
      </c>
      <c r="C29" s="4" t="s">
        <v>1651</v>
      </c>
      <c r="D29" s="27">
        <v>1009</v>
      </c>
      <c r="E29" s="4">
        <v>22</v>
      </c>
    </row>
    <row r="30" spans="1:5">
      <c r="A30" s="4">
        <v>23</v>
      </c>
      <c r="B30" s="4" t="s">
        <v>1702</v>
      </c>
      <c r="C30" s="27" t="s">
        <v>1652</v>
      </c>
      <c r="D30" s="27">
        <v>1009</v>
      </c>
      <c r="E30" s="4">
        <v>23</v>
      </c>
    </row>
    <row r="31" spans="1:5">
      <c r="A31" s="4">
        <v>24</v>
      </c>
      <c r="B31" s="4" t="s">
        <v>1703</v>
      </c>
      <c r="C31" s="4" t="s">
        <v>1653</v>
      </c>
      <c r="D31" s="27">
        <v>1009</v>
      </c>
      <c r="E31" s="4">
        <v>24</v>
      </c>
    </row>
    <row r="32" spans="1:5">
      <c r="A32" s="4">
        <v>25</v>
      </c>
      <c r="B32" s="4" t="s">
        <v>1704</v>
      </c>
      <c r="C32" s="4" t="s">
        <v>1654</v>
      </c>
      <c r="D32" s="27">
        <v>1009</v>
      </c>
      <c r="E32" s="4">
        <v>25</v>
      </c>
    </row>
    <row r="33" spans="1:5">
      <c r="A33" s="4">
        <v>26</v>
      </c>
      <c r="B33" s="4" t="s">
        <v>1705</v>
      </c>
      <c r="C33" s="87" t="s">
        <v>1655</v>
      </c>
      <c r="D33" s="27">
        <v>1010</v>
      </c>
      <c r="E33" s="4">
        <v>26</v>
      </c>
    </row>
    <row r="34" spans="1:5">
      <c r="A34" s="4">
        <v>27</v>
      </c>
      <c r="B34" s="4" t="s">
        <v>1706</v>
      </c>
      <c r="C34" s="27" t="s">
        <v>1656</v>
      </c>
      <c r="D34" s="27">
        <v>1010</v>
      </c>
      <c r="E34" s="4">
        <v>27</v>
      </c>
    </row>
    <row r="35" spans="1:5">
      <c r="A35" s="4">
        <v>28</v>
      </c>
      <c r="B35" s="4" t="s">
        <v>1707</v>
      </c>
      <c r="C35" s="27" t="s">
        <v>1657</v>
      </c>
      <c r="D35" s="27">
        <v>1010</v>
      </c>
      <c r="E35" s="4">
        <v>28</v>
      </c>
    </row>
    <row r="36" spans="1:5">
      <c r="A36" s="4">
        <v>29</v>
      </c>
      <c r="B36" s="4" t="s">
        <v>1708</v>
      </c>
      <c r="C36" s="27" t="s">
        <v>1658</v>
      </c>
      <c r="D36" s="27">
        <v>1010</v>
      </c>
      <c r="E36" s="4">
        <v>29</v>
      </c>
    </row>
    <row r="37" spans="1:5">
      <c r="A37" s="4">
        <v>30</v>
      </c>
      <c r="B37" s="4" t="s">
        <v>1709</v>
      </c>
      <c r="C37" s="27" t="s">
        <v>1659</v>
      </c>
      <c r="D37" s="27">
        <v>1010</v>
      </c>
      <c r="E37" s="4">
        <v>30</v>
      </c>
    </row>
    <row r="38" spans="1:5">
      <c r="A38" s="4">
        <v>31</v>
      </c>
      <c r="B38" s="4" t="s">
        <v>1710</v>
      </c>
      <c r="C38" s="27" t="s">
        <v>1660</v>
      </c>
      <c r="D38" s="27">
        <v>1010</v>
      </c>
      <c r="E38" s="4">
        <v>31</v>
      </c>
    </row>
    <row r="39" spans="1:5">
      <c r="A39" s="4">
        <v>32</v>
      </c>
      <c r="B39" s="4" t="s">
        <v>1711</v>
      </c>
      <c r="C39" s="27" t="s">
        <v>1661</v>
      </c>
      <c r="D39" s="27">
        <v>1010</v>
      </c>
      <c r="E39" s="4">
        <v>32</v>
      </c>
    </row>
    <row r="40" spans="1:5">
      <c r="A40" s="4">
        <v>33</v>
      </c>
      <c r="B40" s="4" t="s">
        <v>1712</v>
      </c>
      <c r="C40" s="27" t="s">
        <v>1662</v>
      </c>
      <c r="D40" s="27">
        <v>1010</v>
      </c>
      <c r="E40" s="4">
        <v>33</v>
      </c>
    </row>
    <row r="41" spans="1:5">
      <c r="A41" s="4">
        <v>34</v>
      </c>
      <c r="B41" s="4" t="s">
        <v>1713</v>
      </c>
      <c r="C41" s="27" t="s">
        <v>1663</v>
      </c>
      <c r="D41" s="27">
        <v>1010</v>
      </c>
      <c r="E41" s="4">
        <v>34</v>
      </c>
    </row>
    <row r="42" spans="1:5">
      <c r="A42" s="4">
        <v>35</v>
      </c>
      <c r="B42" s="4" t="s">
        <v>1714</v>
      </c>
      <c r="C42" s="27" t="s">
        <v>1664</v>
      </c>
      <c r="D42" s="27">
        <v>1010</v>
      </c>
      <c r="E42" s="4">
        <v>35</v>
      </c>
    </row>
    <row r="43" spans="1:5">
      <c r="A43" s="4">
        <v>36</v>
      </c>
      <c r="B43" s="4" t="s">
        <v>1715</v>
      </c>
      <c r="C43" s="27" t="s">
        <v>1665</v>
      </c>
      <c r="D43" s="27">
        <v>1011</v>
      </c>
      <c r="E43" s="4">
        <v>36</v>
      </c>
    </row>
    <row r="44" spans="1:5">
      <c r="A44" s="4">
        <v>37</v>
      </c>
      <c r="B44" s="4" t="s">
        <v>1716</v>
      </c>
      <c r="C44" s="27" t="s">
        <v>1666</v>
      </c>
      <c r="D44" s="27">
        <v>1011</v>
      </c>
      <c r="E44" s="4">
        <v>37</v>
      </c>
    </row>
    <row r="45" spans="1:5">
      <c r="A45" s="4">
        <v>38</v>
      </c>
      <c r="B45" s="4" t="s">
        <v>1717</v>
      </c>
      <c r="C45" s="27" t="s">
        <v>1667</v>
      </c>
      <c r="D45" s="27">
        <v>1011</v>
      </c>
      <c r="E45" s="4">
        <v>38</v>
      </c>
    </row>
    <row r="46" spans="1:5">
      <c r="A46" s="4">
        <v>39</v>
      </c>
      <c r="B46" s="4" t="s">
        <v>1718</v>
      </c>
      <c r="C46" s="27" t="s">
        <v>1668</v>
      </c>
      <c r="D46" s="27">
        <v>1011</v>
      </c>
      <c r="E46" s="4">
        <v>39</v>
      </c>
    </row>
    <row r="47" spans="1:5">
      <c r="A47" s="4">
        <v>40</v>
      </c>
      <c r="B47" s="4" t="s">
        <v>1719</v>
      </c>
      <c r="C47" s="27" t="s">
        <v>1669</v>
      </c>
      <c r="D47" s="27">
        <v>1011</v>
      </c>
      <c r="E47" s="4">
        <v>40</v>
      </c>
    </row>
    <row r="48" spans="1:5">
      <c r="A48" s="4">
        <v>41</v>
      </c>
      <c r="B48" s="4" t="s">
        <v>1720</v>
      </c>
      <c r="C48" s="27" t="s">
        <v>1670</v>
      </c>
      <c r="D48" s="27">
        <v>1011</v>
      </c>
      <c r="E48" s="4">
        <v>41</v>
      </c>
    </row>
    <row r="49" spans="1:5">
      <c r="A49" s="4">
        <v>42</v>
      </c>
      <c r="B49" s="4" t="s">
        <v>1721</v>
      </c>
      <c r="C49" s="27" t="s">
        <v>1671</v>
      </c>
      <c r="D49" s="27">
        <v>1011</v>
      </c>
      <c r="E49" s="4">
        <v>42</v>
      </c>
    </row>
    <row r="50" spans="1:5">
      <c r="A50" s="4">
        <v>43</v>
      </c>
      <c r="B50" s="4" t="s">
        <v>1722</v>
      </c>
      <c r="C50" s="27" t="s">
        <v>1672</v>
      </c>
      <c r="D50" s="27">
        <v>1011</v>
      </c>
      <c r="E50" s="4">
        <v>43</v>
      </c>
    </row>
    <row r="51" spans="1:5">
      <c r="A51" s="4">
        <v>44</v>
      </c>
      <c r="B51" s="4" t="s">
        <v>1723</v>
      </c>
      <c r="C51" s="27" t="s">
        <v>1673</v>
      </c>
      <c r="D51" s="27">
        <v>1011</v>
      </c>
      <c r="E51" s="4">
        <v>44</v>
      </c>
    </row>
    <row r="52" spans="1:5">
      <c r="A52" s="4">
        <v>45</v>
      </c>
      <c r="B52" s="4" t="s">
        <v>1724</v>
      </c>
      <c r="C52" s="27" t="s">
        <v>1674</v>
      </c>
      <c r="D52" s="27">
        <v>1011</v>
      </c>
      <c r="E52" s="4">
        <v>45</v>
      </c>
    </row>
    <row r="53" spans="1:5">
      <c r="A53" s="4">
        <v>98</v>
      </c>
      <c r="B53" s="4" t="s">
        <v>1540</v>
      </c>
      <c r="C53" s="4" t="s">
        <v>1541</v>
      </c>
      <c r="D53" s="4">
        <v>0</v>
      </c>
      <c r="E53" s="4">
        <v>98</v>
      </c>
    </row>
    <row r="54" spans="1:5">
      <c r="A54" s="4">
        <v>100</v>
      </c>
      <c r="B54" s="4" t="s">
        <v>1563</v>
      </c>
      <c r="C54" s="4" t="s">
        <v>1544</v>
      </c>
      <c r="D54" s="4">
        <v>0</v>
      </c>
      <c r="E54" s="4">
        <v>100</v>
      </c>
    </row>
    <row r="55" spans="1:5">
      <c r="A55" s="4">
        <v>10001</v>
      </c>
      <c r="B55" s="4" t="s">
        <v>1536</v>
      </c>
      <c r="C55" s="4" t="s">
        <v>1481</v>
      </c>
      <c r="D55" s="27">
        <v>3001</v>
      </c>
      <c r="E55" s="4">
        <v>1</v>
      </c>
    </row>
    <row r="56" spans="1:5">
      <c r="A56" s="4">
        <v>20001</v>
      </c>
      <c r="B56" s="4" t="s">
        <v>1882</v>
      </c>
      <c r="C56" s="4" t="s">
        <v>1745</v>
      </c>
      <c r="D56" s="4">
        <v>2001</v>
      </c>
      <c r="E56" s="4">
        <v>1</v>
      </c>
    </row>
    <row r="57" spans="1:5">
      <c r="A57" s="4">
        <v>20002</v>
      </c>
      <c r="B57" t="s">
        <v>1725</v>
      </c>
      <c r="C57" s="4" t="s">
        <v>2073</v>
      </c>
      <c r="D57">
        <v>2001</v>
      </c>
      <c r="E57" s="4">
        <v>2</v>
      </c>
    </row>
    <row r="58" spans="1:5">
      <c r="A58" s="4">
        <v>20003</v>
      </c>
      <c r="B58" t="s">
        <v>1726</v>
      </c>
      <c r="C58" s="4" t="s">
        <v>2074</v>
      </c>
      <c r="D58" s="4">
        <v>2001</v>
      </c>
      <c r="E58" s="4">
        <v>3</v>
      </c>
    </row>
    <row r="59" spans="1:5">
      <c r="A59" s="4">
        <v>20004</v>
      </c>
      <c r="B59" t="s">
        <v>1727</v>
      </c>
      <c r="C59" s="4" t="s">
        <v>2075</v>
      </c>
      <c r="D59">
        <v>2001</v>
      </c>
      <c r="E59" s="4">
        <v>4</v>
      </c>
    </row>
    <row r="60" spans="1:5">
      <c r="A60" s="4">
        <v>20005</v>
      </c>
      <c r="B60" t="s">
        <v>1728</v>
      </c>
      <c r="C60" s="4" t="s">
        <v>2076</v>
      </c>
      <c r="D60" s="4">
        <v>2001</v>
      </c>
      <c r="E60" s="4">
        <v>5</v>
      </c>
    </row>
    <row r="61" spans="1:5">
      <c r="A61" s="4">
        <v>20006</v>
      </c>
      <c r="B61" t="s">
        <v>1729</v>
      </c>
      <c r="C61" s="4" t="s">
        <v>2077</v>
      </c>
      <c r="D61">
        <v>2001</v>
      </c>
      <c r="E61" s="4">
        <v>6</v>
      </c>
    </row>
    <row r="62" spans="1:5">
      <c r="A62" s="4">
        <v>20101</v>
      </c>
      <c r="B62" t="s">
        <v>1883</v>
      </c>
      <c r="C62" s="4" t="s">
        <v>1746</v>
      </c>
      <c r="D62">
        <v>2002</v>
      </c>
      <c r="E62" s="4">
        <v>1</v>
      </c>
    </row>
    <row r="63" spans="1:5">
      <c r="A63" s="4">
        <v>20102</v>
      </c>
      <c r="B63" t="s">
        <v>1730</v>
      </c>
      <c r="C63" s="4" t="s">
        <v>1747</v>
      </c>
      <c r="D63" s="4">
        <v>2002</v>
      </c>
      <c r="E63" s="4">
        <v>2</v>
      </c>
    </row>
    <row r="64" spans="1:5">
      <c r="A64" s="4">
        <v>20103</v>
      </c>
      <c r="B64" t="s">
        <v>1731</v>
      </c>
      <c r="C64" s="4" t="s">
        <v>1748</v>
      </c>
      <c r="D64">
        <v>2002</v>
      </c>
      <c r="E64" s="4">
        <v>3</v>
      </c>
    </row>
    <row r="65" spans="1:5">
      <c r="A65" s="4">
        <v>20104</v>
      </c>
      <c r="B65" t="s">
        <v>1732</v>
      </c>
      <c r="C65" s="4" t="s">
        <v>1749</v>
      </c>
      <c r="D65" s="4">
        <v>2002</v>
      </c>
      <c r="E65" s="4">
        <v>4</v>
      </c>
    </row>
    <row r="66" spans="1:5">
      <c r="A66" s="4">
        <v>20105</v>
      </c>
      <c r="B66" t="s">
        <v>1733</v>
      </c>
      <c r="C66" s="4" t="s">
        <v>1750</v>
      </c>
      <c r="D66">
        <v>2002</v>
      </c>
      <c r="E66" s="4">
        <v>5</v>
      </c>
    </row>
    <row r="67" spans="1:5">
      <c r="A67" s="4">
        <v>20106</v>
      </c>
      <c r="B67" t="s">
        <v>1734</v>
      </c>
      <c r="C67" s="4" t="s">
        <v>2081</v>
      </c>
      <c r="D67" s="4">
        <v>2002</v>
      </c>
      <c r="E67" s="4">
        <v>6</v>
      </c>
    </row>
    <row r="68" spans="1:5">
      <c r="A68" s="4">
        <v>20201</v>
      </c>
      <c r="B68" t="s">
        <v>1884</v>
      </c>
      <c r="C68" s="4" t="s">
        <v>1751</v>
      </c>
      <c r="D68">
        <v>2003</v>
      </c>
      <c r="E68" s="4">
        <v>1</v>
      </c>
    </row>
    <row r="69" spans="1:5">
      <c r="A69" s="4">
        <v>20202</v>
      </c>
      <c r="B69" t="s">
        <v>1735</v>
      </c>
      <c r="C69" s="4" t="s">
        <v>1752</v>
      </c>
      <c r="D69" s="4">
        <v>2003</v>
      </c>
      <c r="E69" s="4">
        <v>2</v>
      </c>
    </row>
    <row r="70" spans="1:5">
      <c r="A70" s="4">
        <v>20203</v>
      </c>
      <c r="B70" t="s">
        <v>1736</v>
      </c>
      <c r="C70" s="4" t="s">
        <v>1753</v>
      </c>
      <c r="D70">
        <v>2003</v>
      </c>
      <c r="E70" s="4">
        <v>3</v>
      </c>
    </row>
    <row r="71" spans="1:5">
      <c r="A71" s="4">
        <v>20204</v>
      </c>
      <c r="B71" t="s">
        <v>1737</v>
      </c>
      <c r="C71" s="4" t="s">
        <v>1754</v>
      </c>
      <c r="D71" s="4">
        <v>2003</v>
      </c>
      <c r="E71" s="4">
        <v>4</v>
      </c>
    </row>
    <row r="72" spans="1:5">
      <c r="A72" s="4">
        <v>20205</v>
      </c>
      <c r="B72" t="s">
        <v>1738</v>
      </c>
      <c r="C72" s="4" t="s">
        <v>1755</v>
      </c>
      <c r="D72">
        <v>2003</v>
      </c>
      <c r="E72" s="4">
        <v>5</v>
      </c>
    </row>
    <row r="73" spans="1:5">
      <c r="A73" s="4">
        <v>20206</v>
      </c>
      <c r="B73" t="s">
        <v>1739</v>
      </c>
      <c r="C73" s="4" t="s">
        <v>2082</v>
      </c>
      <c r="D73" s="4">
        <v>2003</v>
      </c>
      <c r="E73" s="4">
        <v>6</v>
      </c>
    </row>
    <row r="74" spans="1:5">
      <c r="A74" s="4">
        <v>20301</v>
      </c>
      <c r="B74" s="27" t="s">
        <v>1885</v>
      </c>
      <c r="C74" s="4" t="s">
        <v>1757</v>
      </c>
      <c r="D74">
        <v>2004</v>
      </c>
      <c r="E74" s="4">
        <v>1</v>
      </c>
    </row>
    <row r="75" spans="1:5">
      <c r="A75" s="4">
        <v>20302</v>
      </c>
      <c r="B75" s="27" t="s">
        <v>1758</v>
      </c>
      <c r="C75" s="4" t="s">
        <v>1759</v>
      </c>
      <c r="D75">
        <v>2004</v>
      </c>
      <c r="E75" s="4">
        <v>2</v>
      </c>
    </row>
    <row r="76" spans="1:5">
      <c r="A76" s="4">
        <v>20303</v>
      </c>
      <c r="B76" s="27" t="s">
        <v>1760</v>
      </c>
      <c r="C76" s="4" t="s">
        <v>1761</v>
      </c>
      <c r="D76">
        <v>2004</v>
      </c>
      <c r="E76" s="4">
        <v>3</v>
      </c>
    </row>
    <row r="77" spans="1:5">
      <c r="A77" s="4">
        <v>20304</v>
      </c>
      <c r="B77" s="27" t="s">
        <v>1762</v>
      </c>
      <c r="C77" s="4" t="s">
        <v>2083</v>
      </c>
      <c r="D77">
        <v>2004</v>
      </c>
      <c r="E77" s="4">
        <v>4</v>
      </c>
    </row>
    <row r="78" spans="1:5">
      <c r="A78" s="4">
        <v>20305</v>
      </c>
      <c r="B78" s="27" t="s">
        <v>1763</v>
      </c>
      <c r="C78" s="4" t="s">
        <v>2084</v>
      </c>
      <c r="D78">
        <v>2004</v>
      </c>
      <c r="E78" s="4">
        <v>5</v>
      </c>
    </row>
    <row r="79" spans="1:5">
      <c r="A79" s="4">
        <v>20306</v>
      </c>
      <c r="B79" s="27" t="s">
        <v>1764</v>
      </c>
      <c r="C79" s="4" t="s">
        <v>2085</v>
      </c>
      <c r="D79">
        <v>2004</v>
      </c>
      <c r="E79" s="4">
        <v>6</v>
      </c>
    </row>
    <row r="80" spans="1:5">
      <c r="A80" s="4">
        <v>20401</v>
      </c>
      <c r="B80" s="27" t="s">
        <v>2079</v>
      </c>
      <c r="C80" s="4" t="s">
        <v>1812</v>
      </c>
      <c r="D80">
        <v>2000</v>
      </c>
      <c r="E80" s="4">
        <v>1</v>
      </c>
    </row>
    <row r="81" spans="1:5">
      <c r="A81" s="4">
        <v>20402</v>
      </c>
      <c r="B81" s="27" t="s">
        <v>1821</v>
      </c>
      <c r="C81" s="4" t="s">
        <v>1813</v>
      </c>
      <c r="D81">
        <v>2000</v>
      </c>
      <c r="E81" s="4">
        <v>2</v>
      </c>
    </row>
    <row r="82" spans="1:5">
      <c r="A82" s="4">
        <v>20403</v>
      </c>
      <c r="B82" s="27" t="s">
        <v>1822</v>
      </c>
      <c r="C82" s="4" t="s">
        <v>1814</v>
      </c>
      <c r="D82">
        <v>2000</v>
      </c>
      <c r="E82" s="4">
        <v>3</v>
      </c>
    </row>
    <row r="83" spans="1:5">
      <c r="A83" s="4">
        <v>20404</v>
      </c>
      <c r="B83" s="27" t="s">
        <v>1823</v>
      </c>
      <c r="C83" s="4" t="s">
        <v>1815</v>
      </c>
      <c r="D83">
        <v>2000</v>
      </c>
      <c r="E83" s="4">
        <v>4</v>
      </c>
    </row>
    <row r="84" spans="1:5">
      <c r="A84" s="4">
        <v>20405</v>
      </c>
      <c r="B84" s="27" t="s">
        <v>1824</v>
      </c>
      <c r="C84" s="4" t="s">
        <v>1816</v>
      </c>
      <c r="D84">
        <v>2000</v>
      </c>
      <c r="E84" s="4">
        <v>5</v>
      </c>
    </row>
    <row r="85" spans="1:5">
      <c r="A85" s="4">
        <v>20406</v>
      </c>
      <c r="B85" s="27" t="s">
        <v>1825</v>
      </c>
      <c r="C85" s="4" t="s">
        <v>1817</v>
      </c>
      <c r="D85">
        <v>2000</v>
      </c>
      <c r="E85" s="4">
        <v>6</v>
      </c>
    </row>
    <row r="86" spans="1:5">
      <c r="A86" s="4">
        <v>20407</v>
      </c>
      <c r="B86" s="27" t="s">
        <v>1826</v>
      </c>
      <c r="C86" s="4" t="s">
        <v>1818</v>
      </c>
      <c r="D86">
        <v>2000</v>
      </c>
      <c r="E86" s="4">
        <v>7</v>
      </c>
    </row>
    <row r="87" spans="1:5">
      <c r="A87" s="4">
        <v>20408</v>
      </c>
      <c r="B87" s="27" t="s">
        <v>1827</v>
      </c>
      <c r="C87" s="4" t="s">
        <v>1819</v>
      </c>
      <c r="D87">
        <v>2000</v>
      </c>
      <c r="E87" s="4">
        <v>8</v>
      </c>
    </row>
    <row r="88" spans="1:5">
      <c r="A88" s="4">
        <v>20501</v>
      </c>
      <c r="B88" s="27" t="s">
        <v>2080</v>
      </c>
      <c r="C88" s="4" t="s">
        <v>2021</v>
      </c>
      <c r="D88">
        <v>2005</v>
      </c>
      <c r="E88" s="4">
        <v>1</v>
      </c>
    </row>
    <row r="89" spans="1:5">
      <c r="A89" s="4">
        <v>20502</v>
      </c>
      <c r="B89" s="27" t="s">
        <v>2014</v>
      </c>
      <c r="C89" s="4" t="s">
        <v>2022</v>
      </c>
      <c r="D89">
        <v>2005</v>
      </c>
      <c r="E89" s="4">
        <v>2</v>
      </c>
    </row>
    <row r="90" spans="1:5">
      <c r="A90" s="4">
        <v>20503</v>
      </c>
      <c r="B90" s="27" t="s">
        <v>2015</v>
      </c>
      <c r="C90" s="4" t="s">
        <v>2023</v>
      </c>
      <c r="D90">
        <v>2005</v>
      </c>
      <c r="E90" s="4">
        <v>3</v>
      </c>
    </row>
    <row r="91" spans="1:5">
      <c r="A91" s="4">
        <v>20504</v>
      </c>
      <c r="B91" s="27" t="s">
        <v>2016</v>
      </c>
      <c r="C91" s="4" t="s">
        <v>2024</v>
      </c>
      <c r="D91">
        <v>2005</v>
      </c>
      <c r="E91" s="4">
        <v>4</v>
      </c>
    </row>
    <row r="92" spans="1:5">
      <c r="A92" s="4">
        <v>20505</v>
      </c>
      <c r="B92" s="27" t="s">
        <v>2017</v>
      </c>
      <c r="C92" s="4" t="s">
        <v>2025</v>
      </c>
      <c r="D92">
        <v>2005</v>
      </c>
      <c r="E92" s="4">
        <v>5</v>
      </c>
    </row>
    <row r="93" spans="1:5">
      <c r="A93" s="4">
        <v>20506</v>
      </c>
      <c r="B93" s="27" t="s">
        <v>2018</v>
      </c>
      <c r="C93" s="4" t="s">
        <v>2026</v>
      </c>
      <c r="D93">
        <v>2005</v>
      </c>
      <c r="E93" s="4">
        <v>6</v>
      </c>
    </row>
    <row r="94" spans="1:5">
      <c r="A94" s="4">
        <v>20507</v>
      </c>
      <c r="B94" s="27" t="s">
        <v>2019</v>
      </c>
      <c r="C94" s="4" t="s">
        <v>2027</v>
      </c>
      <c r="D94">
        <v>2005</v>
      </c>
      <c r="E94" s="4">
        <v>7</v>
      </c>
    </row>
    <row r="95" spans="1:5">
      <c r="A95" s="4">
        <v>20508</v>
      </c>
      <c r="B95" s="27" t="s">
        <v>2020</v>
      </c>
      <c r="C95" s="4" t="s">
        <v>2028</v>
      </c>
      <c r="D95">
        <v>2005</v>
      </c>
      <c r="E95" s="4">
        <v>8</v>
      </c>
    </row>
    <row r="96" spans="1:5">
      <c r="A96" s="4">
        <v>20601</v>
      </c>
      <c r="B96" s="27" t="s">
        <v>2147</v>
      </c>
      <c r="C96" s="4" t="s">
        <v>2101</v>
      </c>
      <c r="D96">
        <v>2006</v>
      </c>
      <c r="E96" s="4">
        <v>1</v>
      </c>
    </row>
    <row r="97" spans="1:5">
      <c r="A97" s="4">
        <v>20602</v>
      </c>
      <c r="B97" s="27" t="s">
        <v>2096</v>
      </c>
      <c r="C97" s="4" t="s">
        <v>2102</v>
      </c>
      <c r="D97">
        <v>2006</v>
      </c>
      <c r="E97" s="4">
        <v>2</v>
      </c>
    </row>
    <row r="98" spans="1:5">
      <c r="A98" s="4">
        <v>20603</v>
      </c>
      <c r="B98" s="27" t="s">
        <v>2097</v>
      </c>
      <c r="C98" s="4" t="s">
        <v>2103</v>
      </c>
      <c r="D98">
        <v>2006</v>
      </c>
      <c r="E98" s="4">
        <v>3</v>
      </c>
    </row>
    <row r="99" spans="1:5">
      <c r="A99" s="4">
        <v>20604</v>
      </c>
      <c r="B99" s="27" t="s">
        <v>2098</v>
      </c>
      <c r="C99" s="4" t="s">
        <v>2104</v>
      </c>
      <c r="D99">
        <v>2006</v>
      </c>
      <c r="E99" s="4">
        <v>4</v>
      </c>
    </row>
    <row r="100" spans="1:5">
      <c r="A100" s="4">
        <v>20605</v>
      </c>
      <c r="B100" s="27" t="s">
        <v>2099</v>
      </c>
      <c r="C100" s="4" t="s">
        <v>2105</v>
      </c>
      <c r="D100">
        <v>2006</v>
      </c>
      <c r="E100" s="4">
        <v>5</v>
      </c>
    </row>
    <row r="101" spans="1:5">
      <c r="A101" s="4">
        <v>20606</v>
      </c>
      <c r="B101" s="27" t="s">
        <v>2100</v>
      </c>
      <c r="C101" s="4" t="s">
        <v>2106</v>
      </c>
      <c r="D101">
        <v>2006</v>
      </c>
      <c r="E101" s="4">
        <v>6</v>
      </c>
    </row>
    <row r="102" spans="1:5">
      <c r="A102" s="4">
        <v>20701</v>
      </c>
      <c r="B102" s="27" t="s">
        <v>2152</v>
      </c>
      <c r="C102" s="4" t="s">
        <v>2158</v>
      </c>
      <c r="D102">
        <v>2007</v>
      </c>
      <c r="E102" s="4">
        <v>1</v>
      </c>
    </row>
    <row r="103" spans="1:5">
      <c r="A103" s="4">
        <v>20702</v>
      </c>
      <c r="B103" s="27" t="s">
        <v>2153</v>
      </c>
      <c r="C103" s="4" t="s">
        <v>2159</v>
      </c>
      <c r="D103">
        <v>2007</v>
      </c>
      <c r="E103" s="4">
        <v>2</v>
      </c>
    </row>
    <row r="104" spans="1:5">
      <c r="A104" s="4">
        <v>20703</v>
      </c>
      <c r="B104" s="27" t="s">
        <v>2154</v>
      </c>
      <c r="C104" s="4" t="s">
        <v>2160</v>
      </c>
      <c r="D104">
        <v>2007</v>
      </c>
      <c r="E104" s="4">
        <v>3</v>
      </c>
    </row>
    <row r="105" spans="1:5">
      <c r="A105" s="4">
        <v>20704</v>
      </c>
      <c r="B105" s="27" t="s">
        <v>2155</v>
      </c>
      <c r="C105" s="4" t="s">
        <v>2161</v>
      </c>
      <c r="D105">
        <v>2007</v>
      </c>
      <c r="E105" s="4">
        <v>4</v>
      </c>
    </row>
    <row r="106" spans="1:5">
      <c r="A106" s="4">
        <v>20705</v>
      </c>
      <c r="B106" s="27" t="s">
        <v>2156</v>
      </c>
      <c r="C106" s="4" t="s">
        <v>2162</v>
      </c>
      <c r="D106">
        <v>2007</v>
      </c>
      <c r="E106" s="4">
        <v>5</v>
      </c>
    </row>
    <row r="107" spans="1:5">
      <c r="A107" s="4">
        <v>20706</v>
      </c>
      <c r="B107" s="27" t="s">
        <v>2157</v>
      </c>
      <c r="C107" s="4" t="s">
        <v>2163</v>
      </c>
      <c r="D107">
        <v>2007</v>
      </c>
      <c r="E107" s="4">
        <v>6</v>
      </c>
    </row>
    <row r="108" spans="1:5">
      <c r="A108" s="4">
        <v>20801</v>
      </c>
      <c r="B108" s="27" t="s">
        <v>2253</v>
      </c>
      <c r="C108" s="4" t="s">
        <v>2211</v>
      </c>
      <c r="D108">
        <v>2008</v>
      </c>
      <c r="E108" s="4">
        <v>1</v>
      </c>
    </row>
    <row r="109" spans="1:5">
      <c r="A109" s="4">
        <v>20802</v>
      </c>
      <c r="B109" s="27" t="s">
        <v>2206</v>
      </c>
      <c r="C109" s="4" t="s">
        <v>2212</v>
      </c>
      <c r="D109">
        <v>2008</v>
      </c>
      <c r="E109" s="4">
        <v>2</v>
      </c>
    </row>
    <row r="110" spans="1:5">
      <c r="A110" s="4">
        <v>20803</v>
      </c>
      <c r="B110" s="27" t="s">
        <v>2207</v>
      </c>
      <c r="C110" s="4" t="s">
        <v>2213</v>
      </c>
      <c r="D110">
        <v>2008</v>
      </c>
      <c r="E110" s="4">
        <v>3</v>
      </c>
    </row>
    <row r="111" spans="1:5">
      <c r="A111" s="4">
        <v>20804</v>
      </c>
      <c r="B111" s="27" t="s">
        <v>2208</v>
      </c>
      <c r="C111" s="4" t="s">
        <v>2214</v>
      </c>
      <c r="D111">
        <v>2008</v>
      </c>
      <c r="E111" s="4">
        <v>4</v>
      </c>
    </row>
    <row r="112" spans="1:5">
      <c r="A112" s="4">
        <v>20805</v>
      </c>
      <c r="B112" s="27" t="s">
        <v>2209</v>
      </c>
      <c r="C112" s="4" t="s">
        <v>2215</v>
      </c>
      <c r="D112">
        <v>2008</v>
      </c>
      <c r="E112" s="4">
        <v>5</v>
      </c>
    </row>
    <row r="113" spans="1:5">
      <c r="A113" s="4">
        <v>20806</v>
      </c>
      <c r="B113" s="27" t="s">
        <v>2210</v>
      </c>
      <c r="C113" s="4" t="s">
        <v>2216</v>
      </c>
      <c r="D113">
        <v>2008</v>
      </c>
      <c r="E113" s="4">
        <v>6</v>
      </c>
    </row>
    <row r="114" spans="1:5">
      <c r="A114" s="4">
        <v>20901</v>
      </c>
      <c r="B114" s="27" t="s">
        <v>2261</v>
      </c>
      <c r="C114" s="4" t="s">
        <v>2267</v>
      </c>
      <c r="D114">
        <v>2009</v>
      </c>
      <c r="E114" s="4">
        <v>1</v>
      </c>
    </row>
    <row r="115" spans="1:5">
      <c r="A115" s="4">
        <v>20902</v>
      </c>
      <c r="B115" s="27" t="s">
        <v>2262</v>
      </c>
      <c r="C115" s="4" t="s">
        <v>2268</v>
      </c>
      <c r="D115">
        <v>2009</v>
      </c>
      <c r="E115" s="4">
        <v>2</v>
      </c>
    </row>
    <row r="116" spans="1:5">
      <c r="A116" s="4">
        <v>20903</v>
      </c>
      <c r="B116" s="27" t="s">
        <v>2263</v>
      </c>
      <c r="C116" s="4" t="s">
        <v>2269</v>
      </c>
      <c r="D116">
        <v>2009</v>
      </c>
      <c r="E116" s="4">
        <v>3</v>
      </c>
    </row>
    <row r="117" spans="1:5">
      <c r="A117" s="4">
        <v>20904</v>
      </c>
      <c r="B117" s="27" t="s">
        <v>2264</v>
      </c>
      <c r="C117" s="4" t="s">
        <v>2270</v>
      </c>
      <c r="D117">
        <v>2009</v>
      </c>
      <c r="E117" s="4">
        <v>4</v>
      </c>
    </row>
    <row r="118" spans="1:5">
      <c r="A118" s="4">
        <v>20905</v>
      </c>
      <c r="B118" s="27" t="s">
        <v>2265</v>
      </c>
      <c r="C118" s="4" t="s">
        <v>2271</v>
      </c>
      <c r="D118">
        <v>2009</v>
      </c>
      <c r="E118" s="4">
        <v>5</v>
      </c>
    </row>
    <row r="119" spans="1:5">
      <c r="A119" s="4">
        <v>20906</v>
      </c>
      <c r="B119" s="27" t="s">
        <v>2266</v>
      </c>
      <c r="C119" s="4" t="s">
        <v>2272</v>
      </c>
      <c r="D119">
        <v>2009</v>
      </c>
      <c r="E119" s="4">
        <v>6</v>
      </c>
    </row>
    <row r="120" spans="1:5">
      <c r="A120" s="4">
        <v>21001</v>
      </c>
      <c r="B120" s="27" t="s">
        <v>2313</v>
      </c>
      <c r="C120" s="4" t="s">
        <v>2314</v>
      </c>
      <c r="D120">
        <v>2010</v>
      </c>
      <c r="E120" s="4">
        <v>1</v>
      </c>
    </row>
    <row r="121" spans="1:5">
      <c r="A121" s="4">
        <v>21002</v>
      </c>
      <c r="B121" s="27" t="s">
        <v>2315</v>
      </c>
      <c r="C121" s="4" t="s">
        <v>2316</v>
      </c>
      <c r="D121">
        <v>2010</v>
      </c>
      <c r="E121" s="4">
        <v>2</v>
      </c>
    </row>
    <row r="122" spans="1:5">
      <c r="A122" s="4">
        <v>21003</v>
      </c>
      <c r="B122" s="27" t="s">
        <v>2317</v>
      </c>
      <c r="C122" s="4" t="s">
        <v>2318</v>
      </c>
      <c r="D122">
        <v>2010</v>
      </c>
      <c r="E122" s="4">
        <v>3</v>
      </c>
    </row>
    <row r="123" spans="1:5">
      <c r="A123" s="4">
        <v>21004</v>
      </c>
      <c r="B123" s="27" t="s">
        <v>2319</v>
      </c>
      <c r="C123" s="4" t="s">
        <v>2320</v>
      </c>
      <c r="D123">
        <v>2010</v>
      </c>
      <c r="E123" s="4">
        <v>4</v>
      </c>
    </row>
    <row r="124" spans="1:5">
      <c r="A124" s="4">
        <v>21005</v>
      </c>
      <c r="B124" s="27" t="s">
        <v>2321</v>
      </c>
      <c r="C124" s="4" t="s">
        <v>2322</v>
      </c>
      <c r="D124">
        <v>2010</v>
      </c>
      <c r="E124" s="4">
        <v>5</v>
      </c>
    </row>
    <row r="125" spans="1:5">
      <c r="A125" s="4">
        <v>21006</v>
      </c>
      <c r="B125" s="27" t="s">
        <v>2323</v>
      </c>
      <c r="C125" s="4" t="s">
        <v>2324</v>
      </c>
      <c r="D125">
        <v>2010</v>
      </c>
      <c r="E125" s="4">
        <v>6</v>
      </c>
    </row>
    <row r="126" spans="1:5">
      <c r="A126" s="4">
        <v>21101</v>
      </c>
      <c r="B126" s="27" t="s">
        <v>2563</v>
      </c>
      <c r="C126" s="4" t="s">
        <v>2365</v>
      </c>
      <c r="D126">
        <v>2011</v>
      </c>
      <c r="E126" s="4">
        <v>1</v>
      </c>
    </row>
    <row r="127" spans="1:5">
      <c r="A127" s="4">
        <v>21102</v>
      </c>
      <c r="B127" s="27" t="s">
        <v>2564</v>
      </c>
      <c r="C127" s="4" t="s">
        <v>2366</v>
      </c>
      <c r="D127">
        <v>2011</v>
      </c>
      <c r="E127" s="4">
        <v>2</v>
      </c>
    </row>
    <row r="128" spans="1:5">
      <c r="A128" s="4">
        <v>21103</v>
      </c>
      <c r="B128" s="27" t="s">
        <v>2565</v>
      </c>
      <c r="C128" s="4" t="s">
        <v>2367</v>
      </c>
      <c r="D128">
        <v>2011</v>
      </c>
      <c r="E128" s="4">
        <v>3</v>
      </c>
    </row>
    <row r="129" spans="1:5">
      <c r="A129" s="4">
        <v>21104</v>
      </c>
      <c r="B129" s="27" t="s">
        <v>2566</v>
      </c>
      <c r="C129" s="4" t="s">
        <v>2368</v>
      </c>
      <c r="D129">
        <v>2011</v>
      </c>
      <c r="E129" s="4">
        <v>4</v>
      </c>
    </row>
    <row r="130" spans="1:5">
      <c r="A130" s="4">
        <v>21105</v>
      </c>
      <c r="B130" s="27" t="s">
        <v>2567</v>
      </c>
      <c r="C130" s="4" t="s">
        <v>2369</v>
      </c>
      <c r="D130">
        <v>2011</v>
      </c>
      <c r="E130" s="4">
        <v>5</v>
      </c>
    </row>
    <row r="131" spans="1:5">
      <c r="A131" s="4">
        <v>21106</v>
      </c>
      <c r="B131" s="27" t="s">
        <v>2568</v>
      </c>
      <c r="C131" s="4" t="s">
        <v>2370</v>
      </c>
      <c r="D131">
        <v>2011</v>
      </c>
      <c r="E131" s="4">
        <v>6</v>
      </c>
    </row>
    <row r="132" spans="1:5">
      <c r="A132" s="4">
        <v>21201</v>
      </c>
      <c r="B132" s="27" t="s">
        <v>2569</v>
      </c>
      <c r="C132" s="4" t="s">
        <v>2570</v>
      </c>
      <c r="D132">
        <v>2012</v>
      </c>
      <c r="E132" s="4">
        <v>1</v>
      </c>
    </row>
    <row r="133" spans="1:5">
      <c r="A133" s="4">
        <v>21202</v>
      </c>
      <c r="B133" s="27" t="s">
        <v>2571</v>
      </c>
      <c r="C133" s="4" t="s">
        <v>2572</v>
      </c>
      <c r="D133">
        <v>2012</v>
      </c>
      <c r="E133" s="4">
        <v>2</v>
      </c>
    </row>
    <row r="134" spans="1:5">
      <c r="A134" s="4">
        <v>21203</v>
      </c>
      <c r="B134" s="27" t="s">
        <v>2573</v>
      </c>
      <c r="C134" s="4" t="s">
        <v>2574</v>
      </c>
      <c r="D134">
        <v>2012</v>
      </c>
      <c r="E134" s="4">
        <v>3</v>
      </c>
    </row>
    <row r="135" spans="1:5">
      <c r="A135" s="4">
        <v>21204</v>
      </c>
      <c r="B135" s="27" t="s">
        <v>2575</v>
      </c>
      <c r="C135" s="4" t="s">
        <v>2576</v>
      </c>
      <c r="D135">
        <v>2012</v>
      </c>
      <c r="E135" s="4">
        <v>4</v>
      </c>
    </row>
    <row r="136" spans="1:5">
      <c r="A136" s="4">
        <v>21205</v>
      </c>
      <c r="B136" s="27" t="s">
        <v>2577</v>
      </c>
      <c r="C136" s="4" t="s">
        <v>2578</v>
      </c>
      <c r="D136">
        <v>2012</v>
      </c>
      <c r="E136" s="4">
        <v>5</v>
      </c>
    </row>
    <row r="137" spans="1:5">
      <c r="A137" s="4">
        <v>21206</v>
      </c>
      <c r="B137" s="27" t="s">
        <v>2579</v>
      </c>
      <c r="C137" s="4" t="s">
        <v>2580</v>
      </c>
      <c r="D137">
        <v>2012</v>
      </c>
      <c r="E137" s="4">
        <v>6</v>
      </c>
    </row>
    <row r="138" spans="1:5">
      <c r="A138" s="4">
        <v>10101</v>
      </c>
      <c r="B138" s="4" t="s">
        <v>1587</v>
      </c>
      <c r="C138" s="27" t="s">
        <v>1574</v>
      </c>
      <c r="D138" s="27">
        <v>4001</v>
      </c>
      <c r="E138" s="4">
        <v>1</v>
      </c>
    </row>
    <row r="139" spans="1:5">
      <c r="A139" s="4">
        <v>10102</v>
      </c>
      <c r="B139" s="4" t="s">
        <v>1588</v>
      </c>
      <c r="C139" s="27" t="s">
        <v>1489</v>
      </c>
      <c r="D139" s="27">
        <v>4002</v>
      </c>
      <c r="E139" s="4">
        <v>1</v>
      </c>
    </row>
    <row r="140" spans="1:5">
      <c r="A140" s="4">
        <v>10103</v>
      </c>
      <c r="B140" s="4" t="s">
        <v>1589</v>
      </c>
      <c r="C140" s="27" t="s">
        <v>1490</v>
      </c>
      <c r="D140" s="27">
        <v>4003</v>
      </c>
      <c r="E140" s="4">
        <v>1</v>
      </c>
    </row>
    <row r="141" spans="1:5">
      <c r="A141" s="4">
        <v>10104</v>
      </c>
      <c r="B141" s="4" t="s">
        <v>1808</v>
      </c>
      <c r="C141" s="27" t="s">
        <v>1741</v>
      </c>
      <c r="D141" s="27">
        <v>4004</v>
      </c>
      <c r="E141" s="4">
        <v>1</v>
      </c>
    </row>
    <row r="142" spans="1:5">
      <c r="A142" s="4">
        <v>10105</v>
      </c>
      <c r="B142" s="4" t="s">
        <v>1956</v>
      </c>
      <c r="C142" s="27" t="s">
        <v>1957</v>
      </c>
      <c r="D142" s="27">
        <v>4000</v>
      </c>
      <c r="E142" s="4">
        <v>1</v>
      </c>
    </row>
    <row r="143" spans="1:5">
      <c r="A143" s="4">
        <v>10106</v>
      </c>
      <c r="B143" s="4" t="s">
        <v>2069</v>
      </c>
      <c r="C143" s="27" t="s">
        <v>2012</v>
      </c>
      <c r="D143" s="27">
        <v>4005</v>
      </c>
      <c r="E143" s="4">
        <v>1</v>
      </c>
    </row>
    <row r="144" spans="1:5">
      <c r="A144" s="4">
        <v>10107</v>
      </c>
      <c r="B144" s="4" t="s">
        <v>2143</v>
      </c>
      <c r="C144" s="27" t="s">
        <v>2091</v>
      </c>
      <c r="D144" s="27">
        <v>4006</v>
      </c>
      <c r="E144" s="4">
        <v>1</v>
      </c>
    </row>
    <row r="145" spans="1:5">
      <c r="A145" s="4">
        <v>10108</v>
      </c>
      <c r="B145" s="4" t="s">
        <v>2164</v>
      </c>
      <c r="C145" s="27" t="s">
        <v>2148</v>
      </c>
      <c r="D145" s="27">
        <v>4007</v>
      </c>
      <c r="E145" s="4">
        <v>1</v>
      </c>
    </row>
    <row r="146" spans="1:5">
      <c r="A146" s="4">
        <v>10109</v>
      </c>
      <c r="B146" s="4" t="s">
        <v>2217</v>
      </c>
      <c r="C146" s="27" t="s">
        <v>2202</v>
      </c>
      <c r="D146" s="27">
        <v>4008</v>
      </c>
      <c r="E146" s="4">
        <v>1</v>
      </c>
    </row>
    <row r="147" spans="1:5">
      <c r="A147" s="4">
        <v>10110</v>
      </c>
      <c r="B147" s="4" t="s">
        <v>2273</v>
      </c>
      <c r="C147" s="27" t="s">
        <v>2257</v>
      </c>
      <c r="D147" s="27">
        <v>4009</v>
      </c>
      <c r="E147" s="4">
        <v>1</v>
      </c>
    </row>
    <row r="148" spans="1:5">
      <c r="A148" s="4">
        <v>10111</v>
      </c>
      <c r="B148" s="4" t="s">
        <v>2325</v>
      </c>
      <c r="C148" t="s">
        <v>2310</v>
      </c>
      <c r="D148">
        <v>4010</v>
      </c>
      <c r="E148" s="4">
        <v>1</v>
      </c>
    </row>
    <row r="149" spans="1:5">
      <c r="A149" s="4">
        <v>10112</v>
      </c>
      <c r="B149" s="4" t="s">
        <v>2371</v>
      </c>
      <c r="C149" s="27" t="s">
        <v>2372</v>
      </c>
      <c r="D149" s="27">
        <v>4011</v>
      </c>
      <c r="E149" s="4">
        <v>1</v>
      </c>
    </row>
    <row r="150" spans="1:5">
      <c r="A150" s="4">
        <v>10113</v>
      </c>
      <c r="B150" s="4" t="s">
        <v>2581</v>
      </c>
      <c r="C150" s="27" t="s">
        <v>2582</v>
      </c>
      <c r="D150" s="27">
        <v>4012</v>
      </c>
      <c r="E150" s="4">
        <v>1</v>
      </c>
    </row>
  </sheetData>
  <autoFilter ref="A7:E7" xr:uid="{00000000-0009-0000-0000-000010000000}">
    <sortState xmlns:xlrd2="http://schemas.microsoft.com/office/spreadsheetml/2017/richdata2" ref="A8:E46">
      <sortCondition ref="E7"/>
    </sortState>
  </autoFilter>
  <phoneticPr fontId="15" type="noConversion"/>
  <conditionalFormatting sqref="A3:A7 C8:D9 C29 C10:C11 D10:D52 D55 D138:D140">
    <cfRule type="containsText" dxfId="68" priority="28" operator="containsText" text="请填写">
      <formula>NOT(ISERROR(SEARCH("请填写",A3)))</formula>
    </cfRule>
  </conditionalFormatting>
  <conditionalFormatting sqref="B1:B2">
    <cfRule type="duplicateValues" dxfId="67" priority="25"/>
  </conditionalFormatting>
  <conditionalFormatting sqref="B3:B7">
    <cfRule type="containsText" dxfId="66" priority="27" operator="containsText" text="请填写">
      <formula>NOT(ISERROR(SEARCH("请填写",B3)))</formula>
    </cfRule>
  </conditionalFormatting>
  <conditionalFormatting sqref="C7:D7 C12:C14 C3:C6">
    <cfRule type="containsText" dxfId="65" priority="24" operator="containsText" text="请填写">
      <formula>NOT(ISERROR(SEARCH("请填写",C3)))</formula>
    </cfRule>
    <cfRule type="containsText" dxfId="64" priority="26" operator="containsText" text="请填写">
      <formula>NOT(ISERROR(SEARCH("请填写",C3)))</formula>
    </cfRule>
  </conditionalFormatting>
  <conditionalFormatting sqref="E3:E7">
    <cfRule type="containsText" dxfId="63" priority="23" operator="containsText" text="请填写">
      <formula>NOT(ISERROR(SEARCH("请填写",E3)))</formula>
    </cfRule>
  </conditionalFormatting>
  <conditionalFormatting sqref="C15:C17">
    <cfRule type="containsText" dxfId="62" priority="22" operator="containsText" text="请填写">
      <formula>NOT(ISERROR(SEARCH("请填写",C15)))</formula>
    </cfRule>
  </conditionalFormatting>
  <conditionalFormatting sqref="C18">
    <cfRule type="containsText" dxfId="61" priority="21" operator="containsText" text="请填写">
      <formula>NOT(ISERROR(SEARCH("请填写",C18)))</formula>
    </cfRule>
  </conditionalFormatting>
  <conditionalFormatting sqref="C19">
    <cfRule type="containsText" dxfId="60" priority="20" operator="containsText" text="请填写">
      <formula>NOT(ISERROR(SEARCH("请填写",C19)))</formula>
    </cfRule>
  </conditionalFormatting>
  <conditionalFormatting sqref="C20">
    <cfRule type="containsText" dxfId="59" priority="19" operator="containsText" text="请填写">
      <formula>NOT(ISERROR(SEARCH("请填写",C20)))</formula>
    </cfRule>
  </conditionalFormatting>
  <conditionalFormatting sqref="C21">
    <cfRule type="containsText" dxfId="58" priority="18" operator="containsText" text="请填写">
      <formula>NOT(ISERROR(SEARCH("请填写",C21)))</formula>
    </cfRule>
  </conditionalFormatting>
  <conditionalFormatting sqref="C22">
    <cfRule type="containsText" dxfId="57" priority="17" operator="containsText" text="请填写">
      <formula>NOT(ISERROR(SEARCH("请填写",C22)))</formula>
    </cfRule>
  </conditionalFormatting>
  <conditionalFormatting sqref="C23">
    <cfRule type="containsText" dxfId="56" priority="16" operator="containsText" text="请填写">
      <formula>NOT(ISERROR(SEARCH("请填写",C23)))</formula>
    </cfRule>
  </conditionalFormatting>
  <conditionalFormatting sqref="C24">
    <cfRule type="containsText" dxfId="55" priority="15" operator="containsText" text="请填写">
      <formula>NOT(ISERROR(SEARCH("请填写",C24)))</formula>
    </cfRule>
  </conditionalFormatting>
  <conditionalFormatting sqref="C25">
    <cfRule type="containsText" dxfId="54" priority="14" operator="containsText" text="请填写">
      <formula>NOT(ISERROR(SEARCH("请填写",C25)))</formula>
    </cfRule>
  </conditionalFormatting>
  <conditionalFormatting sqref="C26">
    <cfRule type="containsText" dxfId="53" priority="13" operator="containsText" text="请填写">
      <formula>NOT(ISERROR(SEARCH("请填写",C26)))</formula>
    </cfRule>
  </conditionalFormatting>
  <conditionalFormatting sqref="C27">
    <cfRule type="containsText" dxfId="52" priority="12" operator="containsText" text="请填写">
      <formula>NOT(ISERROR(SEARCH("请填写",C27)))</formula>
    </cfRule>
  </conditionalFormatting>
  <conditionalFormatting sqref="C28">
    <cfRule type="containsText" dxfId="51" priority="11" operator="containsText" text="请填写">
      <formula>NOT(ISERROR(SEARCH("请填写",C28)))</formula>
    </cfRule>
  </conditionalFormatting>
  <conditionalFormatting sqref="D3:D5">
    <cfRule type="containsText" dxfId="50" priority="8" operator="containsText" text="请填写">
      <formula>NOT(ISERROR(SEARCH("请填写",D3)))</formula>
    </cfRule>
    <cfRule type="containsText" dxfId="49" priority="9" operator="containsText" text="请填写">
      <formula>NOT(ISERROR(SEARCH("请填写",D3)))</formula>
    </cfRule>
  </conditionalFormatting>
  <conditionalFormatting sqref="D3:D6">
    <cfRule type="containsText" dxfId="48" priority="6" operator="containsText" text="请填写">
      <formula>NOT(ISERROR(SEARCH("请填写",D3)))</formula>
    </cfRule>
  </conditionalFormatting>
  <conditionalFormatting sqref="D6">
    <cfRule type="containsText" dxfId="47" priority="7" operator="containsText" text="请填写">
      <formula>NOT(ISERROR(SEARCH("请填写",D6)))</formula>
    </cfRule>
    <cfRule type="containsText" dxfId="46" priority="10" operator="containsText" text="请填写">
      <formula>NOT(ISERROR(SEARCH("请填写",D6)))</formula>
    </cfRule>
  </conditionalFormatting>
  <conditionalFormatting sqref="D141">
    <cfRule type="containsText" dxfId="45" priority="5" operator="containsText" text="请填写">
      <formula>NOT(ISERROR(SEARCH("请填写",D141)))</formula>
    </cfRule>
  </conditionalFormatting>
  <conditionalFormatting sqref="D142:D143 D149">
    <cfRule type="containsText" dxfId="44" priority="4" operator="containsText" text="请填写">
      <formula>NOT(ISERROR(SEARCH("请填写",D142)))</formula>
    </cfRule>
  </conditionalFormatting>
  <conditionalFormatting sqref="D144 D147">
    <cfRule type="containsText" dxfId="43" priority="3" operator="containsText" text="请填写">
      <formula>NOT(ISERROR(SEARCH("请填写",D144)))</formula>
    </cfRule>
  </conditionalFormatting>
  <conditionalFormatting sqref="D145:D146">
    <cfRule type="containsText" dxfId="42" priority="2" operator="containsText" text="请填写">
      <formula>NOT(ISERROR(SEARCH("请填写",D145)))</formula>
    </cfRule>
  </conditionalFormatting>
  <conditionalFormatting sqref="D150">
    <cfRule type="containsText" dxfId="41" priority="1" operator="containsText" text="请填写">
      <formula>NOT(ISERROR(SEARCH("请填写",D150)))</formula>
    </cfRule>
  </conditionalFormatting>
  <dataValidations count="2">
    <dataValidation type="list" allowBlank="1" showInputMessage="1" showErrorMessage="1" sqref="A3:E3" xr:uid="{00000000-0002-0000-10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E4" xr:uid="{00000000-0002-0000-1000-000001000000}">
      <formula1>"All,Server,Client,None"</formula1>
    </dataValidation>
  </dataValidations>
  <pageMargins left="0.7" right="0.7" top="0.75" bottom="0.75" header="0.3" footer="0.3"/>
  <pageSetup paperSize="9" fitToHeight="0" orientation="portrait"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H45"/>
  <sheetViews>
    <sheetView workbookViewId="0">
      <selection activeCell="A45" sqref="A45:XFD45"/>
    </sheetView>
  </sheetViews>
  <sheetFormatPr defaultRowHeight="13.5"/>
  <cols>
    <col min="2" max="2" width="19.375" bestFit="1" customWidth="1"/>
    <col min="3" max="5" width="15" customWidth="1"/>
    <col min="6" max="6" width="17" customWidth="1"/>
    <col min="7" max="7" width="37.875" customWidth="1"/>
    <col min="8" max="8" width="34.125" customWidth="1"/>
  </cols>
  <sheetData>
    <row r="1" spans="1:8" ht="14.25">
      <c r="A1" s="139" t="s">
        <v>36</v>
      </c>
      <c r="B1" s="2" t="s">
        <v>432</v>
      </c>
      <c r="C1" s="140" t="s">
        <v>1463</v>
      </c>
      <c r="D1" s="137" t="s">
        <v>1605</v>
      </c>
      <c r="E1" s="139" t="s">
        <v>1462</v>
      </c>
      <c r="F1" s="141" t="s">
        <v>434</v>
      </c>
      <c r="G1" s="139" t="s">
        <v>1470</v>
      </c>
      <c r="H1" s="139" t="s">
        <v>1512</v>
      </c>
    </row>
    <row r="2" spans="1:8" ht="14.25">
      <c r="A2" s="139" t="s">
        <v>41</v>
      </c>
      <c r="B2" s="2" t="s">
        <v>42</v>
      </c>
      <c r="C2" s="140" t="s">
        <v>43</v>
      </c>
      <c r="D2" s="138" t="s">
        <v>1606</v>
      </c>
      <c r="E2" s="139" t="s">
        <v>1464</v>
      </c>
      <c r="F2" s="141" t="s">
        <v>109</v>
      </c>
      <c r="G2" s="139" t="s">
        <v>386</v>
      </c>
      <c r="H2" s="139" t="s">
        <v>1513</v>
      </c>
    </row>
    <row r="3" spans="1:8">
      <c r="A3" s="139" t="s">
        <v>46</v>
      </c>
      <c r="B3" s="140" t="s">
        <v>47</v>
      </c>
      <c r="C3" s="140" t="s">
        <v>47</v>
      </c>
      <c r="D3" s="141" t="s">
        <v>46</v>
      </c>
      <c r="E3" s="139" t="s">
        <v>46</v>
      </c>
      <c r="F3" s="141" t="s">
        <v>46</v>
      </c>
      <c r="G3" s="139" t="s">
        <v>47</v>
      </c>
      <c r="H3" s="139" t="s">
        <v>47</v>
      </c>
    </row>
    <row r="4" spans="1:8">
      <c r="A4" s="139" t="s">
        <v>48</v>
      </c>
      <c r="B4" s="140" t="s">
        <v>49</v>
      </c>
      <c r="C4" s="140" t="s">
        <v>50</v>
      </c>
      <c r="D4" s="138" t="s">
        <v>1607</v>
      </c>
      <c r="E4" s="139" t="s">
        <v>49</v>
      </c>
      <c r="F4" s="141" t="s">
        <v>49</v>
      </c>
      <c r="G4" s="139" t="s">
        <v>49</v>
      </c>
      <c r="H4" s="139" t="s">
        <v>49</v>
      </c>
    </row>
    <row r="5" spans="1:8">
      <c r="A5" s="139" t="s">
        <v>51</v>
      </c>
      <c r="B5" s="140"/>
      <c r="C5" s="140"/>
      <c r="D5" s="138"/>
      <c r="E5" s="139"/>
      <c r="F5" s="141"/>
      <c r="G5" s="139"/>
      <c r="H5" s="139"/>
    </row>
    <row r="6" spans="1:8" ht="54">
      <c r="A6" s="139" t="s">
        <v>52</v>
      </c>
      <c r="B6" s="140"/>
      <c r="C6" s="140"/>
      <c r="D6" s="138" t="s">
        <v>1608</v>
      </c>
      <c r="E6" s="139" t="s">
        <v>1465</v>
      </c>
      <c r="F6" s="141" t="s">
        <v>1461</v>
      </c>
      <c r="G6" s="139"/>
      <c r="H6" s="139"/>
    </row>
    <row r="7" spans="1:8">
      <c r="A7" s="139"/>
      <c r="B7" s="140"/>
      <c r="C7" s="140"/>
      <c r="D7" s="138"/>
      <c r="E7" s="142"/>
      <c r="F7" s="141"/>
      <c r="G7" s="139"/>
      <c r="H7" s="139"/>
    </row>
    <row r="8" spans="1:8">
      <c r="A8">
        <v>1001</v>
      </c>
      <c r="B8" t="s">
        <v>1617</v>
      </c>
      <c r="C8" s="27" t="s">
        <v>1564</v>
      </c>
      <c r="D8" s="27">
        <v>0</v>
      </c>
      <c r="E8">
        <v>1</v>
      </c>
      <c r="F8">
        <v>1</v>
      </c>
      <c r="G8" s="20" t="s">
        <v>1514</v>
      </c>
      <c r="H8" s="20" t="s">
        <v>1468</v>
      </c>
    </row>
    <row r="9" spans="1:8">
      <c r="A9">
        <v>1002</v>
      </c>
      <c r="B9" t="s">
        <v>1618</v>
      </c>
      <c r="C9" s="27" t="s">
        <v>1565</v>
      </c>
      <c r="D9" s="27">
        <v>0</v>
      </c>
      <c r="E9">
        <v>1</v>
      </c>
      <c r="F9">
        <v>2</v>
      </c>
      <c r="G9" s="49" t="s">
        <v>1515</v>
      </c>
      <c r="H9" s="49" t="s">
        <v>1469</v>
      </c>
    </row>
    <row r="10" spans="1:8">
      <c r="A10">
        <v>1003</v>
      </c>
      <c r="B10" t="s">
        <v>1619</v>
      </c>
      <c r="C10" s="27" t="s">
        <v>1566</v>
      </c>
      <c r="D10" s="27">
        <v>0</v>
      </c>
      <c r="E10">
        <v>1</v>
      </c>
      <c r="F10">
        <v>3</v>
      </c>
      <c r="G10" s="20" t="s">
        <v>1516</v>
      </c>
      <c r="H10" s="20" t="s">
        <v>1482</v>
      </c>
    </row>
    <row r="11" spans="1:8">
      <c r="A11">
        <v>1004</v>
      </c>
      <c r="B11" t="s">
        <v>1620</v>
      </c>
      <c r="C11" s="27" t="s">
        <v>1567</v>
      </c>
      <c r="D11" s="27">
        <v>0</v>
      </c>
      <c r="E11">
        <v>1</v>
      </c>
      <c r="F11">
        <v>4</v>
      </c>
      <c r="G11" s="49" t="s">
        <v>1517</v>
      </c>
      <c r="H11" s="49" t="s">
        <v>1480</v>
      </c>
    </row>
    <row r="12" spans="1:8">
      <c r="A12">
        <v>1005</v>
      </c>
      <c r="B12" t="s">
        <v>1621</v>
      </c>
      <c r="C12" s="27" t="s">
        <v>1568</v>
      </c>
      <c r="D12" s="27">
        <v>0</v>
      </c>
      <c r="E12">
        <v>1</v>
      </c>
      <c r="F12">
        <v>5</v>
      </c>
      <c r="G12" s="20" t="s">
        <v>1518</v>
      </c>
      <c r="H12" s="20" t="s">
        <v>1479</v>
      </c>
    </row>
    <row r="13" spans="1:8">
      <c r="A13">
        <v>1006</v>
      </c>
      <c r="B13" t="s">
        <v>1622</v>
      </c>
      <c r="C13" s="27" t="s">
        <v>1569</v>
      </c>
      <c r="D13" s="27">
        <v>0</v>
      </c>
      <c r="E13">
        <v>1</v>
      </c>
      <c r="F13">
        <v>6</v>
      </c>
      <c r="G13" s="49" t="s">
        <v>1519</v>
      </c>
      <c r="H13" s="49" t="s">
        <v>1483</v>
      </c>
    </row>
    <row r="14" spans="1:8">
      <c r="A14">
        <v>1007</v>
      </c>
      <c r="B14" t="s">
        <v>1623</v>
      </c>
      <c r="C14" s="27" t="s">
        <v>1570</v>
      </c>
      <c r="D14" s="27">
        <v>0</v>
      </c>
      <c r="E14">
        <v>1</v>
      </c>
      <c r="F14">
        <v>7</v>
      </c>
      <c r="G14" s="20" t="s">
        <v>1520</v>
      </c>
      <c r="H14" s="20" t="s">
        <v>1484</v>
      </c>
    </row>
    <row r="15" spans="1:8">
      <c r="A15">
        <v>1008</v>
      </c>
      <c r="B15" t="s">
        <v>1624</v>
      </c>
      <c r="C15" s="27" t="s">
        <v>493</v>
      </c>
      <c r="D15" s="27">
        <v>0</v>
      </c>
      <c r="E15">
        <v>1</v>
      </c>
      <c r="F15">
        <v>8</v>
      </c>
      <c r="G15" s="49" t="s">
        <v>1521</v>
      </c>
      <c r="H15" s="49" t="s">
        <v>1485</v>
      </c>
    </row>
    <row r="16" spans="1:8">
      <c r="A16">
        <v>1009</v>
      </c>
      <c r="B16" t="s">
        <v>1625</v>
      </c>
      <c r="C16" s="27" t="s">
        <v>1571</v>
      </c>
      <c r="D16" s="27">
        <v>0</v>
      </c>
      <c r="E16">
        <v>1</v>
      </c>
      <c r="F16">
        <v>9</v>
      </c>
      <c r="G16" s="20" t="s">
        <v>1522</v>
      </c>
      <c r="H16" s="20" t="s">
        <v>1486</v>
      </c>
    </row>
    <row r="17" spans="1:8">
      <c r="A17">
        <v>1010</v>
      </c>
      <c r="B17" t="s">
        <v>1626</v>
      </c>
      <c r="C17" s="27" t="s">
        <v>1572</v>
      </c>
      <c r="D17" s="27">
        <v>0</v>
      </c>
      <c r="E17">
        <v>1</v>
      </c>
      <c r="F17">
        <v>10</v>
      </c>
      <c r="G17" s="49" t="s">
        <v>1523</v>
      </c>
      <c r="H17" s="49" t="s">
        <v>1487</v>
      </c>
    </row>
    <row r="18" spans="1:8">
      <c r="A18">
        <v>1011</v>
      </c>
      <c r="B18" t="s">
        <v>1627</v>
      </c>
      <c r="C18" s="27" t="s">
        <v>1573</v>
      </c>
      <c r="D18" s="27">
        <v>0</v>
      </c>
      <c r="E18">
        <v>1</v>
      </c>
      <c r="F18">
        <v>11</v>
      </c>
      <c r="G18" s="20" t="s">
        <v>1524</v>
      </c>
      <c r="H18" s="20" t="s">
        <v>1488</v>
      </c>
    </row>
    <row r="19" spans="1:8">
      <c r="A19">
        <v>2000</v>
      </c>
      <c r="B19" s="27" t="s">
        <v>1886</v>
      </c>
      <c r="C19" s="27" t="s">
        <v>1809</v>
      </c>
      <c r="D19" s="27">
        <v>0</v>
      </c>
      <c r="E19">
        <v>2</v>
      </c>
      <c r="F19">
        <v>1</v>
      </c>
      <c r="G19" s="20" t="s">
        <v>1810</v>
      </c>
      <c r="H19" s="20" t="s">
        <v>1811</v>
      </c>
    </row>
    <row r="20" spans="1:8">
      <c r="A20">
        <v>2005</v>
      </c>
      <c r="B20" s="27" t="s">
        <v>2009</v>
      </c>
      <c r="C20" s="27" t="s">
        <v>2012</v>
      </c>
      <c r="D20" s="27">
        <v>0</v>
      </c>
      <c r="E20">
        <v>2</v>
      </c>
      <c r="F20">
        <v>2</v>
      </c>
      <c r="G20" s="49" t="s">
        <v>2010</v>
      </c>
      <c r="H20" s="49" t="s">
        <v>2011</v>
      </c>
    </row>
    <row r="21" spans="1:8">
      <c r="A21">
        <v>2001</v>
      </c>
      <c r="B21" t="s">
        <v>1537</v>
      </c>
      <c r="C21" s="27" t="s">
        <v>1574</v>
      </c>
      <c r="D21" s="27">
        <v>0</v>
      </c>
      <c r="E21">
        <v>2</v>
      </c>
      <c r="F21">
        <v>3</v>
      </c>
      <c r="G21" s="49" t="s">
        <v>1525</v>
      </c>
      <c r="H21" s="49" t="s">
        <v>1491</v>
      </c>
    </row>
    <row r="22" spans="1:8">
      <c r="A22">
        <v>2002</v>
      </c>
      <c r="B22" t="s">
        <v>1538</v>
      </c>
      <c r="C22" s="27" t="s">
        <v>1489</v>
      </c>
      <c r="D22" s="27">
        <v>0</v>
      </c>
      <c r="E22">
        <v>2</v>
      </c>
      <c r="F22">
        <v>4</v>
      </c>
      <c r="G22" s="20" t="s">
        <v>1526</v>
      </c>
      <c r="H22" s="20" t="s">
        <v>1492</v>
      </c>
    </row>
    <row r="23" spans="1:8">
      <c r="A23">
        <v>2003</v>
      </c>
      <c r="B23" t="s">
        <v>1539</v>
      </c>
      <c r="C23" s="27" t="s">
        <v>1490</v>
      </c>
      <c r="D23" s="27">
        <v>0</v>
      </c>
      <c r="E23">
        <v>2</v>
      </c>
      <c r="F23">
        <v>5</v>
      </c>
      <c r="G23" s="49" t="s">
        <v>1527</v>
      </c>
      <c r="H23" s="49" t="s">
        <v>1493</v>
      </c>
    </row>
    <row r="24" spans="1:8">
      <c r="A24">
        <v>2004</v>
      </c>
      <c r="B24" s="27" t="s">
        <v>1740</v>
      </c>
      <c r="C24" s="27" t="s">
        <v>1741</v>
      </c>
      <c r="D24" s="27">
        <v>0</v>
      </c>
      <c r="E24">
        <v>2</v>
      </c>
      <c r="F24">
        <v>6</v>
      </c>
      <c r="G24" s="49" t="s">
        <v>1742</v>
      </c>
      <c r="H24" s="49" t="s">
        <v>1743</v>
      </c>
    </row>
    <row r="25" spans="1:8">
      <c r="A25">
        <v>2006</v>
      </c>
      <c r="B25" s="27" t="s">
        <v>2095</v>
      </c>
      <c r="C25" s="27" t="s">
        <v>2091</v>
      </c>
      <c r="D25" s="27">
        <v>0</v>
      </c>
      <c r="E25">
        <v>2</v>
      </c>
      <c r="F25">
        <v>7</v>
      </c>
      <c r="G25" s="49" t="s">
        <v>2092</v>
      </c>
      <c r="H25" s="49" t="s">
        <v>2093</v>
      </c>
    </row>
    <row r="26" spans="1:8">
      <c r="A26">
        <v>2007</v>
      </c>
      <c r="B26" s="27" t="s">
        <v>2254</v>
      </c>
      <c r="C26" s="27" t="s">
        <v>2149</v>
      </c>
      <c r="D26" s="27">
        <v>0</v>
      </c>
      <c r="E26">
        <v>2</v>
      </c>
      <c r="F26">
        <v>8</v>
      </c>
      <c r="G26" s="49" t="s">
        <v>2150</v>
      </c>
      <c r="H26" s="49" t="s">
        <v>2151</v>
      </c>
    </row>
    <row r="27" spans="1:8">
      <c r="A27">
        <v>2008</v>
      </c>
      <c r="B27" s="27" t="s">
        <v>2255</v>
      </c>
      <c r="C27" s="27" t="s">
        <v>2202</v>
      </c>
      <c r="D27" s="27">
        <v>0</v>
      </c>
      <c r="E27">
        <v>2</v>
      </c>
      <c r="F27">
        <v>9</v>
      </c>
      <c r="G27" s="49" t="s">
        <v>2203</v>
      </c>
      <c r="H27" s="49" t="s">
        <v>2204</v>
      </c>
    </row>
    <row r="28" spans="1:8">
      <c r="A28">
        <v>2009</v>
      </c>
      <c r="B28" s="27" t="s">
        <v>2256</v>
      </c>
      <c r="C28" s="27" t="s">
        <v>2258</v>
      </c>
      <c r="D28" s="27">
        <v>0</v>
      </c>
      <c r="E28">
        <v>2</v>
      </c>
      <c r="F28">
        <v>10</v>
      </c>
      <c r="G28" s="49" t="s">
        <v>2259</v>
      </c>
      <c r="H28" s="49" t="s">
        <v>2260</v>
      </c>
    </row>
    <row r="29" spans="1:8">
      <c r="A29">
        <v>2010</v>
      </c>
      <c r="B29" s="27" t="s">
        <v>2309</v>
      </c>
      <c r="C29" s="27" t="s">
        <v>2310</v>
      </c>
      <c r="D29" s="27">
        <v>0</v>
      </c>
      <c r="E29">
        <v>2</v>
      </c>
      <c r="F29">
        <v>11</v>
      </c>
      <c r="G29" s="49" t="s">
        <v>2311</v>
      </c>
      <c r="H29" s="49" t="s">
        <v>2312</v>
      </c>
    </row>
    <row r="30" spans="1:8">
      <c r="A30">
        <v>2011</v>
      </c>
      <c r="B30" s="27" t="s">
        <v>2361</v>
      </c>
      <c r="C30" s="27" t="s">
        <v>2362</v>
      </c>
      <c r="D30" s="27">
        <v>0</v>
      </c>
      <c r="E30">
        <v>2</v>
      </c>
      <c r="F30">
        <v>12</v>
      </c>
      <c r="G30" s="49" t="s">
        <v>2363</v>
      </c>
      <c r="H30" s="49" t="s">
        <v>2364</v>
      </c>
    </row>
    <row r="31" spans="1:8">
      <c r="A31">
        <v>2012</v>
      </c>
      <c r="B31" s="27" t="s">
        <v>2559</v>
      </c>
      <c r="C31" s="27" t="s">
        <v>2560</v>
      </c>
      <c r="D31" s="27">
        <v>0</v>
      </c>
      <c r="E31">
        <v>2</v>
      </c>
      <c r="F31">
        <v>13</v>
      </c>
      <c r="G31" s="49" t="s">
        <v>2561</v>
      </c>
      <c r="H31" s="49" t="s">
        <v>2562</v>
      </c>
    </row>
    <row r="32" spans="1:8">
      <c r="A32">
        <v>3001</v>
      </c>
      <c r="C32" s="27"/>
      <c r="D32" s="27">
        <v>0</v>
      </c>
      <c r="E32">
        <v>1</v>
      </c>
      <c r="F32" s="4">
        <v>1</v>
      </c>
      <c r="G32" s="20"/>
    </row>
    <row r="33" spans="1:6">
      <c r="A33">
        <v>4000</v>
      </c>
      <c r="D33" s="27">
        <v>0</v>
      </c>
      <c r="E33">
        <v>2</v>
      </c>
      <c r="F33">
        <v>1</v>
      </c>
    </row>
    <row r="34" spans="1:6">
      <c r="A34">
        <v>4005</v>
      </c>
      <c r="D34" s="27">
        <v>0</v>
      </c>
      <c r="E34">
        <v>2</v>
      </c>
      <c r="F34">
        <v>2</v>
      </c>
    </row>
    <row r="35" spans="1:6">
      <c r="A35">
        <v>4001</v>
      </c>
      <c r="D35" s="27">
        <v>0</v>
      </c>
      <c r="E35">
        <v>2</v>
      </c>
      <c r="F35">
        <v>3</v>
      </c>
    </row>
    <row r="36" spans="1:6">
      <c r="A36">
        <v>4002</v>
      </c>
      <c r="D36" s="27">
        <v>0</v>
      </c>
      <c r="E36">
        <v>2</v>
      </c>
      <c r="F36">
        <v>4</v>
      </c>
    </row>
    <row r="37" spans="1:6">
      <c r="A37">
        <v>4003</v>
      </c>
      <c r="D37" s="27">
        <v>0</v>
      </c>
      <c r="E37">
        <v>2</v>
      </c>
      <c r="F37">
        <v>5</v>
      </c>
    </row>
    <row r="38" spans="1:6">
      <c r="A38">
        <v>4004</v>
      </c>
      <c r="D38" s="27">
        <v>0</v>
      </c>
      <c r="E38">
        <v>2</v>
      </c>
      <c r="F38">
        <v>6</v>
      </c>
    </row>
    <row r="39" spans="1:6">
      <c r="A39">
        <v>4006</v>
      </c>
      <c r="D39" s="27">
        <v>0</v>
      </c>
      <c r="E39">
        <v>2</v>
      </c>
      <c r="F39">
        <v>7</v>
      </c>
    </row>
    <row r="40" spans="1:6">
      <c r="A40">
        <v>4007</v>
      </c>
      <c r="D40" s="27">
        <v>0</v>
      </c>
      <c r="E40">
        <v>2</v>
      </c>
      <c r="F40">
        <v>8</v>
      </c>
    </row>
    <row r="41" spans="1:6">
      <c r="A41">
        <v>4008</v>
      </c>
      <c r="D41" s="27">
        <v>0</v>
      </c>
      <c r="E41">
        <v>2</v>
      </c>
      <c r="F41">
        <v>9</v>
      </c>
    </row>
    <row r="42" spans="1:6">
      <c r="A42">
        <v>4009</v>
      </c>
      <c r="D42" s="27">
        <v>0</v>
      </c>
      <c r="E42">
        <v>2</v>
      </c>
      <c r="F42">
        <v>10</v>
      </c>
    </row>
    <row r="43" spans="1:6">
      <c r="A43">
        <v>4010</v>
      </c>
      <c r="D43" s="27">
        <v>0</v>
      </c>
      <c r="E43">
        <v>2</v>
      </c>
      <c r="F43">
        <v>11</v>
      </c>
    </row>
    <row r="44" spans="1:6">
      <c r="A44">
        <v>4011</v>
      </c>
      <c r="D44" s="27">
        <v>0</v>
      </c>
      <c r="E44">
        <v>2</v>
      </c>
      <c r="F44">
        <v>12</v>
      </c>
    </row>
    <row r="45" spans="1:6">
      <c r="A45">
        <v>4012</v>
      </c>
      <c r="D45" s="27">
        <v>0</v>
      </c>
      <c r="E45">
        <v>2</v>
      </c>
      <c r="F45">
        <v>13</v>
      </c>
    </row>
  </sheetData>
  <phoneticPr fontId="15" type="noConversion"/>
  <conditionalFormatting sqref="A3:A7">
    <cfRule type="containsText" dxfId="40" priority="39" operator="containsText" text="请填写">
      <formula>NOT(ISERROR(SEARCH("请填写",A3)))</formula>
    </cfRule>
  </conditionalFormatting>
  <conditionalFormatting sqref="B1:B2">
    <cfRule type="duplicateValues" dxfId="39" priority="36"/>
  </conditionalFormatting>
  <conditionalFormatting sqref="B3:B7">
    <cfRule type="containsText" dxfId="38" priority="38" operator="containsText" text="请填写">
      <formula>NOT(ISERROR(SEARCH("请填写",B3)))</formula>
    </cfRule>
  </conditionalFormatting>
  <conditionalFormatting sqref="C3:C7 E7">
    <cfRule type="containsText" dxfId="37" priority="35" operator="containsText" text="请填写">
      <formula>NOT(ISERROR(SEARCH("请填写",C3)))</formula>
    </cfRule>
    <cfRule type="containsText" dxfId="36" priority="37" operator="containsText" text="请填写">
      <formula>NOT(ISERROR(SEARCH("请填写",C3)))</formula>
    </cfRule>
  </conditionalFormatting>
  <conditionalFormatting sqref="F3:F7">
    <cfRule type="containsText" dxfId="35" priority="34" operator="containsText" text="请填写">
      <formula>NOT(ISERROR(SEARCH("请填写",F3)))</formula>
    </cfRule>
  </conditionalFormatting>
  <conditionalFormatting sqref="E3:E5">
    <cfRule type="containsText" dxfId="34" priority="31" operator="containsText" text="请填写">
      <formula>NOT(ISERROR(SEARCH("请填写",E3)))</formula>
    </cfRule>
    <cfRule type="containsText" dxfId="33" priority="32" operator="containsText" text="请填写">
      <formula>NOT(ISERROR(SEARCH("请填写",E3)))</formula>
    </cfRule>
  </conditionalFormatting>
  <conditionalFormatting sqref="E3:E6">
    <cfRule type="containsText" dxfId="32" priority="29" operator="containsText" text="请填写">
      <formula>NOT(ISERROR(SEARCH("请填写",E3)))</formula>
    </cfRule>
  </conditionalFormatting>
  <conditionalFormatting sqref="E6">
    <cfRule type="containsText" dxfId="31" priority="30" operator="containsText" text="请填写">
      <formula>NOT(ISERROR(SEARCH("请填写",E6)))</formula>
    </cfRule>
    <cfRule type="containsText" dxfId="30" priority="33" operator="containsText" text="请填写">
      <formula>NOT(ISERROR(SEARCH("请填写",E6)))</formula>
    </cfRule>
  </conditionalFormatting>
  <conditionalFormatting sqref="G3:G7">
    <cfRule type="containsText" dxfId="29" priority="27" operator="containsText" text="请填写">
      <formula>NOT(ISERROR(SEARCH("请填写",G3)))</formula>
    </cfRule>
    <cfRule type="containsText" dxfId="28" priority="28" operator="containsText" text="请填写">
      <formula>NOT(ISERROR(SEARCH("请填写",G3)))</formula>
    </cfRule>
  </conditionalFormatting>
  <conditionalFormatting sqref="G3:G7">
    <cfRule type="containsText" dxfId="27" priority="24" operator="containsText" text="请填写">
      <formula>NOT(ISERROR(SEARCH("请填写",G3)))</formula>
    </cfRule>
    <cfRule type="containsText" dxfId="26" priority="25" operator="containsText" text="请填写">
      <formula>NOT(ISERROR(SEARCH("请填写",G3)))</formula>
    </cfRule>
    <cfRule type="containsText" dxfId="25" priority="26" operator="containsText" text="请填写">
      <formula>NOT(ISERROR(SEARCH("请填写",G3)))</formula>
    </cfRule>
  </conditionalFormatting>
  <conditionalFormatting sqref="G9 G11 G13 G15 G17 G21 G23">
    <cfRule type="duplicateValues" dxfId="24" priority="23"/>
  </conditionalFormatting>
  <conditionalFormatting sqref="G8 G10 G12 G14 G16 G22 G32 G18:G19">
    <cfRule type="duplicateValues" dxfId="23" priority="22"/>
  </conditionalFormatting>
  <conditionalFormatting sqref="H3:H7">
    <cfRule type="containsText" dxfId="22" priority="20" operator="containsText" text="请填写">
      <formula>NOT(ISERROR(SEARCH("请填写",H3)))</formula>
    </cfRule>
    <cfRule type="containsText" dxfId="21" priority="21" operator="containsText" text="请填写">
      <formula>NOT(ISERROR(SEARCH("请填写",H3)))</formula>
    </cfRule>
  </conditionalFormatting>
  <conditionalFormatting sqref="H3:H7">
    <cfRule type="containsText" dxfId="20" priority="17" operator="containsText" text="请填写">
      <formula>NOT(ISERROR(SEARCH("请填写",H3)))</formula>
    </cfRule>
    <cfRule type="containsText" dxfId="19" priority="18" operator="containsText" text="请填写">
      <formula>NOT(ISERROR(SEARCH("请填写",H3)))</formula>
    </cfRule>
    <cfRule type="containsText" dxfId="18" priority="19" operator="containsText" text="请填写">
      <formula>NOT(ISERROR(SEARCH("请填写",H3)))</formula>
    </cfRule>
  </conditionalFormatting>
  <conditionalFormatting sqref="H9 H11 H13 H15 H17 H21 H23">
    <cfRule type="duplicateValues" dxfId="17" priority="16"/>
  </conditionalFormatting>
  <conditionalFormatting sqref="H8 H10 H12 H14 H16 H18 H22">
    <cfRule type="duplicateValues" dxfId="16" priority="15"/>
  </conditionalFormatting>
  <conditionalFormatting sqref="D3">
    <cfRule type="containsText" dxfId="15" priority="14" operator="containsText" text="请填写">
      <formula>NOT(ISERROR(SEARCH("请填写",D3)))</formula>
    </cfRule>
  </conditionalFormatting>
  <conditionalFormatting sqref="G24">
    <cfRule type="duplicateValues" dxfId="14" priority="13"/>
  </conditionalFormatting>
  <conditionalFormatting sqref="H24">
    <cfRule type="duplicateValues" dxfId="13" priority="12"/>
  </conditionalFormatting>
  <conditionalFormatting sqref="H19">
    <cfRule type="duplicateValues" dxfId="12" priority="11"/>
  </conditionalFormatting>
  <conditionalFormatting sqref="G20">
    <cfRule type="duplicateValues" dxfId="11" priority="10"/>
  </conditionalFormatting>
  <conditionalFormatting sqref="H20">
    <cfRule type="duplicateValues" dxfId="10" priority="9"/>
  </conditionalFormatting>
  <conditionalFormatting sqref="G25 G27:G28">
    <cfRule type="duplicateValues" dxfId="9" priority="8"/>
  </conditionalFormatting>
  <conditionalFormatting sqref="H25 H27:H28">
    <cfRule type="duplicateValues" dxfId="8" priority="7"/>
  </conditionalFormatting>
  <conditionalFormatting sqref="G26">
    <cfRule type="duplicateValues" dxfId="7" priority="6"/>
  </conditionalFormatting>
  <conditionalFormatting sqref="H26">
    <cfRule type="duplicateValues" dxfId="6" priority="5"/>
  </conditionalFormatting>
  <conditionalFormatting sqref="G29:G30">
    <cfRule type="duplicateValues" dxfId="5" priority="4"/>
  </conditionalFormatting>
  <conditionalFormatting sqref="H29:H30">
    <cfRule type="duplicateValues" dxfId="4" priority="3"/>
  </conditionalFormatting>
  <conditionalFormatting sqref="G31">
    <cfRule type="duplicateValues" dxfId="3" priority="2"/>
  </conditionalFormatting>
  <conditionalFormatting sqref="H31">
    <cfRule type="duplicateValues" dxfId="2" priority="1"/>
  </conditionalFormatting>
  <dataValidations count="2">
    <dataValidation type="list" allowBlank="1" showInputMessage="1" showErrorMessage="1" sqref="A4:C4 E4:H4" xr:uid="{00000000-0002-0000-1100-000000000000}">
      <formula1>"All,Server,Client,None"</formula1>
    </dataValidation>
    <dataValidation type="list" allowBlank="1" showInputMessage="1" showErrorMessage="1" sqref="A3:H3" xr:uid="{00000000-0002-0000-1100-000001000000}">
      <formula1>"string,string[],transtring,transtring[],float,float[],uint32,uint32[],bool,bool[],int32,int32[],[uint=uint],[uint=int],[uint=float],[uint=string],[int=uint],[int=int],[int=float],[int=string],[string=uint],[string=int],[string=float],[string=string]"</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18</vt:i4>
      </vt:variant>
    </vt:vector>
  </HeadingPairs>
  <TitlesOfParts>
    <vt:vector size="18" baseType="lpstr">
      <vt:lpstr>main</vt:lpstr>
      <vt:lpstr>Character</vt:lpstr>
      <vt:lpstr>Inspiration</vt:lpstr>
      <vt:lpstr>Base</vt:lpstr>
      <vt:lpstr>Hero</vt:lpstr>
      <vt:lpstr>TeamConfig</vt:lpstr>
      <vt:lpstr>TeamStar</vt:lpstr>
      <vt:lpstr>配置公式2</vt:lpstr>
      <vt:lpstr>InspirationSuit</vt:lpstr>
      <vt:lpstr>InspirationStar</vt:lpstr>
      <vt:lpstr>Monster</vt:lpstr>
      <vt:lpstr>Voice</vt:lpstr>
      <vt:lpstr>PicSuit</vt:lpstr>
      <vt:lpstr>Picture</vt:lpstr>
      <vt:lpstr>MainItem</vt:lpstr>
      <vt:lpstr>Animation</vt:lpstr>
      <vt:lpstr>AnimationType</vt:lpstr>
      <vt:lpstr>AnimationChapter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阿宁</dc:creator>
  <cp:lastModifiedBy>kazukenn</cp:lastModifiedBy>
  <dcterms:created xsi:type="dcterms:W3CDTF">2015-10-30T09:17:00Z</dcterms:created>
  <dcterms:modified xsi:type="dcterms:W3CDTF">2026-06-11T06:38:15Z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24E923D2DAC54C7E9DB9D9606ED60E1F</vt:lpwstr>
  </property>
  <property fmtid="{D5CDD505-2E9C-101B-9397-08002B2CF9AE}" pid="3" name="KSOProductBuildVer">
    <vt:lpwstr>2052-11.1.0.13703</vt:lpwstr>
  </property>
  <property fmtid="{D5CDD505-2E9C-101B-9397-08002B2CF9AE}" pid="4" name="Generator">
    <vt:lpwstr>NPOI</vt:lpwstr>
  </property>
  <property fmtid="{D5CDD505-2E9C-101B-9397-08002B2CF9AE}" pid="5" name="Generator Version">
    <vt:lpwstr>2.5.6</vt:lpwstr>
  </property>
</Properties>
</file>